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able Tracker" sheetId="1" state="visible" r:id="rId3"/>
    <sheet name="Weekly Leadership Meeting" sheetId="2" state="visible" r:id="rId4"/>
    <sheet name="Business Review Calendar" sheetId="3" state="visible" r:id="rId5"/>
    <sheet name="Dashboard" sheetId="4" state="visible" r:id="rId6"/>
    <sheet name="How To U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<sst xmlns="http://schemas.openxmlformats.org/spreadsheetml/2006/main" count="246" uniqueCount="180">
  <si>
    <t xml:space="preserve">DELIVERABLE TRACKER — Services Leadership Team</t>
  </si>
  <si>
    <t xml:space="preserve">ID</t>
  </si>
  <si>
    <t xml:space="preserve">Initiative</t>
  </si>
  <si>
    <t xml:space="preserve">Deliverable</t>
  </si>
  <si>
    <t xml:space="preserve">Owner</t>
  </si>
  <si>
    <t xml:space="preserve">Team</t>
  </si>
  <si>
    <t xml:space="preserve">Due Date</t>
  </si>
  <si>
    <t xml:space="preserve">Status</t>
  </si>
  <si>
    <t xml:space="preserve">Days Aging</t>
  </si>
  <si>
    <t xml:space="preserve">Escalation Notes</t>
  </si>
  <si>
    <t xml:space="preserve">D-001</t>
  </si>
  <si>
    <t xml:space="preserve">Q2 Planning</t>
  </si>
  <si>
    <t xml:space="preserve">Draft Q2 OKRs for Services org</t>
  </si>
  <si>
    <t xml:space="preserve">J. Martinez</t>
  </si>
  <si>
    <t xml:space="preserve">Strategy</t>
  </si>
  <si>
    <t xml:space="preserve">In Progress</t>
  </si>
  <si>
    <t xml:space="preserve">D-002</t>
  </si>
  <si>
    <t xml:space="preserve">Finalize headcount plan</t>
  </si>
  <si>
    <t xml:space="preserve">R. Chen</t>
  </si>
  <si>
    <t xml:space="preserve">People Ops</t>
  </si>
  <si>
    <t xml:space="preserve">Not Started</t>
  </si>
  <si>
    <t xml:space="preserve">Waiting on Finance approval</t>
  </si>
  <si>
    <t xml:space="preserve">D-003</t>
  </si>
  <si>
    <t xml:space="preserve">Vendor Consolidation</t>
  </si>
  <si>
    <t xml:space="preserve">Vendor spend analysis deck</t>
  </si>
  <si>
    <t xml:space="preserve">S. Patel</t>
  </si>
  <si>
    <t xml:space="preserve">Procurement</t>
  </si>
  <si>
    <t xml:space="preserve">Overdue</t>
  </si>
  <si>
    <t xml:space="preserve">Escalated to VP 3/19</t>
  </si>
  <si>
    <t xml:space="preserve">D-004</t>
  </si>
  <si>
    <t xml:space="preserve">Customer Onboarding</t>
  </si>
  <si>
    <t xml:space="preserve">Revised onboarding playbook v2</t>
  </si>
  <si>
    <t xml:space="preserve">M. Williams</t>
  </si>
  <si>
    <t xml:space="preserve">CX</t>
  </si>
  <si>
    <t xml:space="preserve">Complete</t>
  </si>
  <si>
    <t xml:space="preserve">D-005</t>
  </si>
  <si>
    <t xml:space="preserve">Eng Reliability</t>
  </si>
  <si>
    <t xml:space="preserve">SLA dashboard for leadership review</t>
  </si>
  <si>
    <t xml:space="preserve">A. Kim</t>
  </si>
  <si>
    <t xml:space="preserve">Engineering</t>
  </si>
  <si>
    <t xml:space="preserve">D-006</t>
  </si>
  <si>
    <t xml:space="preserve">Budget reforecast submission</t>
  </si>
  <si>
    <t xml:space="preserve">T. Johnson</t>
  </si>
  <si>
    <t xml:space="preserve">Finance</t>
  </si>
  <si>
    <t xml:space="preserve">At Risk</t>
  </si>
  <si>
    <t xml:space="preserve">Missing inputs from 2 teams</t>
  </si>
  <si>
    <t xml:space="preserve">D-007</t>
  </si>
  <si>
    <t xml:space="preserve">Partner integration requirements doc</t>
  </si>
  <si>
    <t xml:space="preserve">L. Brown</t>
  </si>
  <si>
    <t xml:space="preserve">Partnerships</t>
  </si>
  <si>
    <t xml:space="preserve">D-008</t>
  </si>
  <si>
    <t xml:space="preserve">Contract renegotiation tracker</t>
  </si>
  <si>
    <t xml:space="preserve">D-009</t>
  </si>
  <si>
    <t xml:space="preserve">Incident retrospective summary Q1</t>
  </si>
  <si>
    <t xml:space="preserve">D-010</t>
  </si>
  <si>
    <t xml:space="preserve">Cross-functional dependency map</t>
  </si>
  <si>
    <t xml:space="preserve">STATUS SUMMARY</t>
  </si>
  <si>
    <t xml:space="preserve">Total Deliverables</t>
  </si>
  <si>
    <t xml:space="preserve">WEEKLY LEADERSHIP MEETING — Agenda &amp; Action Items</t>
  </si>
  <si>
    <t xml:space="preserve">Meeting Cadence: Every Monday 10:00–11:00 AM ET</t>
  </si>
  <si>
    <t xml:space="preserve">Facilitator: [Operations Analyst]</t>
  </si>
  <si>
    <t xml:space="preserve">#</t>
  </si>
  <si>
    <t xml:space="preserve">Agenda Item</t>
  </si>
  <si>
    <t xml:space="preserve">Presenter</t>
  </si>
  <si>
    <t xml:space="preserve">Time (min)</t>
  </si>
  <si>
    <t xml:space="preserve">Discussion Notes</t>
  </si>
  <si>
    <t xml:space="preserve">Action Item</t>
  </si>
  <si>
    <t xml:space="preserve">Owner / Due</t>
  </si>
  <si>
    <t xml:space="preserve">Opening: Review last week's action items</t>
  </si>
  <si>
    <t xml:space="preserve">Ops Analyst</t>
  </si>
  <si>
    <t xml:space="preserve">Walk through tracker — flag overdue items</t>
  </si>
  <si>
    <t xml:space="preserve">Update status on 3 overdue items</t>
  </si>
  <si>
    <t xml:space="preserve">S. Patel / 3/25</t>
  </si>
  <si>
    <t xml:space="preserve">Q2 Planning: OKR alignment check</t>
  </si>
  <si>
    <t xml:space="preserve">Review draft OKRs by team; flag misalignment</t>
  </si>
  <si>
    <t xml:space="preserve">Finalize OKRs and circulate for comment</t>
  </si>
  <si>
    <t xml:space="preserve">J. Martinez / 3/27</t>
  </si>
  <si>
    <t xml:space="preserve">Vendor Consolidation: Spend analysis review</t>
  </si>
  <si>
    <t xml:space="preserve">Present top 5 vendor spend areas</t>
  </si>
  <si>
    <t xml:space="preserve">Schedule deep-dive with Finance</t>
  </si>
  <si>
    <t xml:space="preserve">S. Patel / 3/28</t>
  </si>
  <si>
    <t xml:space="preserve">Eng Reliability: Q1 incident recap</t>
  </si>
  <si>
    <t xml:space="preserve">Summarize Q1 incidents and action plan</t>
  </si>
  <si>
    <t xml:space="preserve">Share retrospective doc with leadership</t>
  </si>
  <si>
    <t xml:space="preserve">A. Kim / 3/26</t>
  </si>
  <si>
    <t xml:space="preserve">Customer Onboarding: Playbook v2 sign-off</t>
  </si>
  <si>
    <t xml:space="preserve">Final review before rollout</t>
  </si>
  <si>
    <t xml:space="preserve">Distribute to CX team for training</t>
  </si>
  <si>
    <t xml:space="preserve">M. Williams / 3/28</t>
  </si>
  <si>
    <t xml:space="preserve">Closing: New action items &amp; next week preview</t>
  </si>
  <si>
    <t xml:space="preserve">Recap new action items; confirm next agenda</t>
  </si>
  <si>
    <t xml:space="preserve">Send meeting notes within 2 hours</t>
  </si>
  <si>
    <t xml:space="preserve">Ops Analyst / 3/24</t>
  </si>
  <si>
    <t xml:space="preserve">MEETING PREP CHECKLIST (Ops Analyst completes before each meeting)</t>
  </si>
  <si>
    <t xml:space="preserve">☐ Pull latest deliverable tracker status — flag overdue and at-risk items</t>
  </si>
  <si>
    <t xml:space="preserve">☐ Confirm agenda with each presenter 24 hours before meeting</t>
  </si>
  <si>
    <t xml:space="preserve">☐ Pre-read materials distributed to attendees by Friday EOD</t>
  </si>
  <si>
    <t xml:space="preserve">☐ Reserve conference room / confirm video link</t>
  </si>
  <si>
    <t xml:space="preserve">☐ Prepare 1-page status summary slide for leadership</t>
  </si>
  <si>
    <t xml:space="preserve">☐ Send meeting notes + updated action items within 2 hours post-meeting</t>
  </si>
  <si>
    <t xml:space="preserve">BUSINESS REVIEW CALENDAR — Q2 2026</t>
  </si>
  <si>
    <t xml:space="preserve">Date</t>
  </si>
  <si>
    <t xml:space="preserve">Review Type</t>
  </si>
  <si>
    <t xml:space="preserve">Focus Area</t>
  </si>
  <si>
    <t xml:space="preserve">Presenter(s)</t>
  </si>
  <si>
    <t xml:space="preserve">Prep Owner</t>
  </si>
  <si>
    <t xml:space="preserve">Prep Deadline</t>
  </si>
  <si>
    <t xml:space="preserve">Materials Status</t>
  </si>
  <si>
    <t xml:space="preserve">Notes</t>
  </si>
  <si>
    <t xml:space="preserve">Monthly Business Review</t>
  </si>
  <si>
    <t xml:space="preserve">March performance + Q1 close</t>
  </si>
  <si>
    <t xml:space="preserve">VP Services + Leads</t>
  </si>
  <si>
    <t xml:space="preserve">Deck template sent 3/20</t>
  </si>
  <si>
    <t xml:space="preserve">Sprint Review</t>
  </si>
  <si>
    <t xml:space="preserve">Engineering sprint 12 demo</t>
  </si>
  <si>
    <t xml:space="preserve">QBR Prep</t>
  </si>
  <si>
    <t xml:space="preserve">Q1 QBR dry run with leadership</t>
  </si>
  <si>
    <t xml:space="preserve">All Leads</t>
  </si>
  <si>
    <t xml:space="preserve">External QBR on 4/22</t>
  </si>
  <si>
    <t xml:space="preserve">Quarterly Business Review</t>
  </si>
  <si>
    <t xml:space="preserve">Q1 results + Q2 outlook (external)</t>
  </si>
  <si>
    <t xml:space="preserve">SVP Services</t>
  </si>
  <si>
    <t xml:space="preserve">Board-level audience</t>
  </si>
  <si>
    <t xml:space="preserve">April performance recap</t>
  </si>
  <si>
    <t xml:space="preserve">Engineering sprint 14 demo</t>
  </si>
  <si>
    <t xml:space="preserve">Ops Excellence Review</t>
  </si>
  <si>
    <t xml:space="preserve">Process improvement pipeline</t>
  </si>
  <si>
    <t xml:space="preserve">New cadence starting Q2</t>
  </si>
  <si>
    <t xml:space="preserve">May performance recap</t>
  </si>
  <si>
    <t xml:space="preserve">Mid-Year Planning</t>
  </si>
  <si>
    <t xml:space="preserve">H2 planning kickoff</t>
  </si>
  <si>
    <t xml:space="preserve">Align with Finance timeline</t>
  </si>
  <si>
    <t xml:space="preserve">OPERATIONS DASHBOARD — Weekly Snapshot</t>
  </si>
  <si>
    <t xml:space="preserve">Week of: March 23, 2026</t>
  </si>
  <si>
    <t xml:space="preserve">Prepared by: Sai Tarun Reddy</t>
  </si>
  <si>
    <t xml:space="preserve">KEY METRICS</t>
  </si>
  <si>
    <t xml:space="preserve">HEALTH INDICATORS</t>
  </si>
  <si>
    <t xml:space="preserve">Total Open Deliverables</t>
  </si>
  <si>
    <t xml:space="preserve">On-Time Delivery Rate</t>
  </si>
  <si>
    <t xml:space="preserve">Overdue Items</t>
  </si>
  <si>
    <t xml:space="preserve">At-Risk Items</t>
  </si>
  <si>
    <t xml:space="preserve">Meetings This Week</t>
  </si>
  <si>
    <t xml:space="preserve">Upcoming Business Reviews (30 days)</t>
  </si>
  <si>
    <t xml:space="preserve">OPEN ITEMS BY TEAM</t>
  </si>
  <si>
    <t xml:space="preserve">Open Items</t>
  </si>
  <si>
    <t xml:space="preserve">ESCALATION LOG</t>
  </si>
  <si>
    <t xml:space="preserve">Item</t>
  </si>
  <si>
    <t xml:space="preserve">Escalated To</t>
  </si>
  <si>
    <t xml:space="preserve">Resolution</t>
  </si>
  <si>
    <t xml:space="preserve">3/19</t>
  </si>
  <si>
    <t xml:space="preserve">Vendor spend analysis deck (D-003)</t>
  </si>
  <si>
    <t xml:space="preserve">VP Procurement</t>
  </si>
  <si>
    <t xml:space="preserve">Deadline extended to 3/25</t>
  </si>
  <si>
    <t xml:space="preserve">3/20</t>
  </si>
  <si>
    <t xml:space="preserve">Budget reforecast inputs (D-006)</t>
  </si>
  <si>
    <t xml:space="preserve">CFO Office</t>
  </si>
  <si>
    <t xml:space="preserve">Pending — follow up 3/24</t>
  </si>
  <si>
    <t xml:space="preserve">HOW TO USE THIS TRACKER</t>
  </si>
  <si>
    <t xml:space="preserve">This tracker is designed for an Operations Analyst supporting a Services Leadership Team.</t>
  </si>
  <si>
    <t xml:space="preserve">It provides a single source of truth for deliverables, meetings, business reviews, and escalations.</t>
  </si>
  <si>
    <t xml:space="preserve">TAB 1: DELIVERABLE TRACKER</t>
  </si>
  <si>
    <t xml:space="preserve">• Add new deliverables as they are assigned. Update status weekly (or more often).</t>
  </si>
  <si>
    <t xml:space="preserve">• "Days Aging" auto-calculates for overdue items. Use this to flag items in leadership meetings.</t>
  </si>
  <si>
    <t xml:space="preserve">• Status options: Complete, In Progress, At Risk, Overdue, Not Started.</t>
  </si>
  <si>
    <t xml:space="preserve">• Add escalation notes for anything flagged to VP or above.</t>
  </si>
  <si>
    <t xml:space="preserve">TAB 2: WEEKLY LEADERSHIP MEETING</t>
  </si>
  <si>
    <t xml:space="preserve">• Update the agenda each Friday before the Monday meeting.</t>
  </si>
  <si>
    <t xml:space="preserve">• Use the prep checklist to ensure nothing is missed.</t>
  </si>
  <si>
    <t xml:space="preserve">• Action items from the meeting should flow into the Deliverable Tracker (Tab 1).</t>
  </si>
  <si>
    <t xml:space="preserve">TAB 3: BUSINESS REVIEW CALENDAR</t>
  </si>
  <si>
    <t xml:space="preserve">• Maintain a rolling 90-day view of all business reviews.</t>
  </si>
  <si>
    <t xml:space="preserve">• Track prep deadlines and materials status so nothing is last-minute.</t>
  </si>
  <si>
    <t xml:space="preserve">TAB 4: DASHBOARD</t>
  </si>
  <si>
    <t xml:space="preserve">• This is your weekly snapshot for leadership. Update every Monday morning.</t>
  </si>
  <si>
    <t xml:space="preserve">• KPI formulas pull directly from the Deliverable Tracker — keep that tab current.</t>
  </si>
  <si>
    <t xml:space="preserve">• The Escalation Log tracks items that required VP+ attention.</t>
  </si>
  <si>
    <t xml:space="preserve">TAB 5: HOW TO USE (this tab)</t>
  </si>
  <si>
    <t xml:space="preserve">• Share this tab with your manager on day one to show your operational approach.</t>
  </si>
  <si>
    <t xml:space="preserve">Prepared by: Sai Tarun Reddy | saitarunreddymittapalli@gmail.com | 401-239-7925</t>
  </si>
  <si>
    <t xml:space="preserve">GitHub: github.com/saitarunreddymittapalli-design/provider-ops-qa-portfolio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</si>
</sst>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50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1"/>
      <color rgb="FF2E5090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9"/>
      <color rgb="FF555555"/>
      <name val="Arial"/>
      <family val="0"/>
      <charset val="1"/>
    </font>
    <font>
      <u val="single"/>
      <sz val="10"/>
      <color rgb="FF2E509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E5090"/>
        <bgColor rgb="FF555555"/>
      </patternFill>
    </fill>
    <fill>
      <patternFill patternType="solid">
        <fgColor rgb="FFF2F2F2"/>
        <bgColor rgb="FFFEF5E7"/>
      </patternFill>
    </fill>
    <fill>
      <patternFill patternType="solid">
        <fgColor rgb="FFFFF2CC"/>
        <bgColor rgb="FFFEF5E7"/>
      </patternFill>
    </fill>
    <fill>
      <patternFill patternType="solid">
        <fgColor rgb="FFFFFFFF"/>
        <bgColor rgb="FFFEF5E7"/>
      </patternFill>
    </fill>
    <fill>
      <patternFill patternType="solid">
        <fgColor rgb="FFFEF5E7"/>
        <bgColor rgb="FFF2F2F2"/>
      </patternFill>
    </fill>
    <fill>
      <patternFill patternType="solid">
        <fgColor rgb="FFFCE4E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27AE60"/>
        <bgColor rgb="FF008080"/>
      </patternFill>
    </fill>
    <fill>
      <patternFill patternType="solid">
        <fgColor rgb="FFE67E22"/>
        <bgColor rgb="FFFF9900"/>
      </patternFill>
    </fill>
    <fill>
      <patternFill patternType="solid">
        <fgColor rgb="FFD6E4F0"/>
        <bgColor rgb="FFE2EFDA"/>
      </patternFill>
    </fill>
    <fill>
      <patternFill patternType="solid">
        <fgColor rgb="FF1A1A2E"/>
        <bgColor rgb="FF333300"/>
      </patternFill>
    </fill>
    <fill>
      <patternFill patternType="solid">
        <fgColor rgb="FFC039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8E44AD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EF5E7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E67E22"/>
      <rgbColor rgb="FF555555"/>
      <rgbColor rgb="FF969696"/>
      <rgbColor rgb="FF003366"/>
      <rgbColor rgb="FF27AE60"/>
      <rgbColor rgb="FF003300"/>
      <rgbColor rgb="FF333300"/>
      <rgbColor rgb="FFC0392B"/>
      <rgbColor rgb="FF993366"/>
      <rgbColor rgb="FF2E5090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4" t="n">
        <v>46106</v>
      </c>
      <c r="G4" s="5" t="s">
        <v>15</v>
      </c>
      <c r="H4" s="6" t="str">
        <f aca="true">IF(G4="Complete","—",IF(F4&lt;TODAY(),TODAY()-F4,"—"))</f>
        <v>—</v>
      </c>
      <c r="I4" s="3"/>
    </row>
    <row r="5" customFormat="false" ht="15" hidden="false" customHeight="false" outlineLevel="0" collapsed="false">
      <c r="A5" s="7" t="s">
        <v>16</v>
      </c>
      <c r="B5" s="7" t="s">
        <v>11</v>
      </c>
      <c r="C5" s="7" t="s">
        <v>17</v>
      </c>
      <c r="D5" s="7" t="s">
        <v>18</v>
      </c>
      <c r="E5" s="7" t="s">
        <v>19</v>
      </c>
      <c r="F5" s="8" t="n">
        <v>46109</v>
      </c>
      <c r="G5" s="9" t="s">
        <v>20</v>
      </c>
      <c r="H5" s="10" t="str">
        <f aca="true">IF(G5="Complete","—",IF(F5&lt;TODAY(),TODAY()-F5,"—"))</f>
        <v>—</v>
      </c>
      <c r="I5" s="7" t="s">
        <v>21</v>
      </c>
    </row>
    <row r="6" customFormat="false" ht="15" hidden="false" customHeight="false" outlineLevel="0" collapsed="false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4" t="n">
        <v>46099</v>
      </c>
      <c r="G6" s="11" t="s">
        <v>27</v>
      </c>
      <c r="H6" s="6" t="n">
        <f aca="true">IF(G6="Complete","—",IF(F6&lt;TODAY(),TODAY()-F6,"—"))</f>
        <v>5</v>
      </c>
      <c r="I6" s="3" t="s">
        <v>28</v>
      </c>
    </row>
    <row r="7" customFormat="false" ht="15" hidden="false" customHeight="false" outlineLevel="0" collapsed="false">
      <c r="A7" s="7" t="s">
        <v>29</v>
      </c>
      <c r="B7" s="7" t="s">
        <v>30</v>
      </c>
      <c r="C7" s="7" t="s">
        <v>31</v>
      </c>
      <c r="D7" s="7" t="s">
        <v>32</v>
      </c>
      <c r="E7" s="7" t="s">
        <v>33</v>
      </c>
      <c r="F7" s="8" t="n">
        <v>46103</v>
      </c>
      <c r="G7" s="12" t="s">
        <v>34</v>
      </c>
      <c r="H7" s="10" t="str">
        <f aca="true">IF(G7="Complete","—",IF(F7&lt;TODAY(),TODAY()-F7,"—"))</f>
        <v>—</v>
      </c>
      <c r="I7" s="7"/>
    </row>
    <row r="8" customFormat="false" ht="23.85" hidden="false" customHeight="false" outlineLevel="0" collapsed="false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4" t="n">
        <v>46113</v>
      </c>
      <c r="G8" s="5" t="s">
        <v>15</v>
      </c>
      <c r="H8" s="6" t="str">
        <f aca="true">IF(G8="Complete","—",IF(F8&lt;TODAY(),TODAY()-F8,"—"))</f>
        <v>—</v>
      </c>
      <c r="I8" s="3"/>
    </row>
    <row r="9" customFormat="false" ht="15" hidden="false" customHeight="false" outlineLevel="0" collapsed="false">
      <c r="A9" s="7" t="s">
        <v>40</v>
      </c>
      <c r="B9" s="7" t="s">
        <v>11</v>
      </c>
      <c r="C9" s="7" t="s">
        <v>41</v>
      </c>
      <c r="D9" s="7" t="s">
        <v>42</v>
      </c>
      <c r="E9" s="7" t="s">
        <v>43</v>
      </c>
      <c r="F9" s="8" t="n">
        <v>46101</v>
      </c>
      <c r="G9" s="11" t="s">
        <v>44</v>
      </c>
      <c r="H9" s="10" t="n">
        <f aca="true">IF(G9="Complete","—",IF(F9&lt;TODAY(),TODAY()-F9,"—"))</f>
        <v>3</v>
      </c>
      <c r="I9" s="7" t="s">
        <v>45</v>
      </c>
    </row>
    <row r="10" customFormat="false" ht="15" hidden="false" customHeight="false" outlineLevel="0" collapsed="false">
      <c r="A10" s="3" t="s">
        <v>46</v>
      </c>
      <c r="B10" s="3" t="s">
        <v>30</v>
      </c>
      <c r="C10" s="3" t="s">
        <v>47</v>
      </c>
      <c r="D10" s="3" t="s">
        <v>48</v>
      </c>
      <c r="E10" s="3" t="s">
        <v>49</v>
      </c>
      <c r="F10" s="4" t="n">
        <v>46117</v>
      </c>
      <c r="G10" s="9" t="s">
        <v>20</v>
      </c>
      <c r="H10" s="6" t="str">
        <f aca="true">IF(G10="Complete","—",IF(F10&lt;TODAY(),TODAY()-F10,"—"))</f>
        <v>—</v>
      </c>
      <c r="I10" s="3"/>
    </row>
    <row r="11" customFormat="false" ht="15" hidden="false" customHeight="false" outlineLevel="0" collapsed="false">
      <c r="A11" s="7" t="s">
        <v>50</v>
      </c>
      <c r="B11" s="7" t="s">
        <v>23</v>
      </c>
      <c r="C11" s="7" t="s">
        <v>51</v>
      </c>
      <c r="D11" s="7" t="s">
        <v>25</v>
      </c>
      <c r="E11" s="7" t="s">
        <v>26</v>
      </c>
      <c r="F11" s="8" t="n">
        <v>46122</v>
      </c>
      <c r="G11" s="5" t="s">
        <v>15</v>
      </c>
      <c r="H11" s="10" t="str">
        <f aca="true">IF(G11="Complete","—",IF(F11&lt;TODAY(),TODAY()-F11,"—"))</f>
        <v>—</v>
      </c>
      <c r="I11" s="7"/>
    </row>
    <row r="12" customFormat="false" ht="15" hidden="false" customHeight="false" outlineLevel="0" collapsed="false">
      <c r="A12" s="3" t="s">
        <v>52</v>
      </c>
      <c r="B12" s="3" t="s">
        <v>36</v>
      </c>
      <c r="C12" s="3" t="s">
        <v>53</v>
      </c>
      <c r="D12" s="3" t="s">
        <v>38</v>
      </c>
      <c r="E12" s="3" t="s">
        <v>39</v>
      </c>
      <c r="F12" s="4" t="n">
        <v>46102</v>
      </c>
      <c r="G12" s="12" t="s">
        <v>34</v>
      </c>
      <c r="H12" s="6" t="str">
        <f aca="true">IF(G12="Complete","—",IF(F12&lt;TODAY(),TODAY()-F12,"—"))</f>
        <v>—</v>
      </c>
      <c r="I12" s="3"/>
    </row>
    <row r="13" customFormat="false" ht="15" hidden="false" customHeight="false" outlineLevel="0" collapsed="false">
      <c r="A13" s="7" t="s">
        <v>54</v>
      </c>
      <c r="B13" s="7" t="s">
        <v>11</v>
      </c>
      <c r="C13" s="7" t="s">
        <v>55</v>
      </c>
      <c r="D13" s="7" t="s">
        <v>13</v>
      </c>
      <c r="E13" s="7" t="s">
        <v>14</v>
      </c>
      <c r="F13" s="8" t="n">
        <v>46111</v>
      </c>
      <c r="G13" s="5" t="s">
        <v>15</v>
      </c>
      <c r="H13" s="10" t="str">
        <f aca="true">IF(G13="Complete","—",IF(F13&lt;TODAY(),TODAY()-F13,"—"))</f>
        <v>—</v>
      </c>
      <c r="I13" s="7"/>
    </row>
    <row r="16" customFormat="false" ht="15" hidden="false" customHeight="false" outlineLevel="0" collapsed="false">
      <c r="A16" s="13" t="s">
        <v>56</v>
      </c>
      <c r="B16" s="13"/>
    </row>
    <row r="17" customFormat="false" ht="15" hidden="false" customHeight="false" outlineLevel="0" collapsed="false">
      <c r="A17" s="14" t="s">
        <v>57</v>
      </c>
      <c r="B17" s="15" t="n">
        <f aca="false">COUNTA(A4:A13)</f>
        <v>10</v>
      </c>
    </row>
    <row r="18" customFormat="false" ht="15" hidden="false" customHeight="false" outlineLevel="0" collapsed="false">
      <c r="A18" s="14" t="s">
        <v>34</v>
      </c>
      <c r="B18" s="16" t="n">
        <f aca="false">COUNTIF(G4:G13,"Complete")</f>
        <v>2</v>
      </c>
    </row>
    <row r="19" customFormat="false" ht="15" hidden="false" customHeight="false" outlineLevel="0" collapsed="false">
      <c r="A19" s="14" t="s">
        <v>15</v>
      </c>
      <c r="B19" s="17" t="n">
        <f aca="false">COUNTIF(G4:G13,"In Progress")</f>
        <v>4</v>
      </c>
    </row>
    <row r="20" customFormat="false" ht="15" hidden="false" customHeight="false" outlineLevel="0" collapsed="false">
      <c r="A20" s="14" t="s">
        <v>44</v>
      </c>
      <c r="B20" s="18" t="n">
        <f aca="false">COUNTIF(G4:G13,"At Risk")</f>
        <v>1</v>
      </c>
    </row>
    <row r="21" customFormat="false" ht="15" hidden="false" customHeight="false" outlineLevel="0" collapsed="false">
      <c r="A21" s="14" t="s">
        <v>27</v>
      </c>
      <c r="B21" s="18" t="n">
        <f aca="false">COUNTIF(G4:G13,"Overdue")</f>
        <v>1</v>
      </c>
    </row>
    <row r="22" customFormat="false" ht="15" hidden="false" customHeight="false" outlineLevel="0" collapsed="false">
      <c r="A22" s="14" t="s">
        <v>20</v>
      </c>
      <c r="B22" s="19" t="n">
        <f aca="false">COUNTIF(G4:G13,"Not Started")</f>
        <v>2</v>
      </c>
    </row>
  </sheetData>
  <mergeCells count="2">
    <mergeCell ref="A1:I1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18"/>
  </cols>
  <sheetData>
    <row r="1" customFormat="false" ht="30" hidden="false" customHeight="true" outlineLevel="0" collapsed="false">
      <c r="A1" s="20" t="s">
        <v>58</v>
      </c>
      <c r="B1" s="20"/>
      <c r="C1" s="20"/>
      <c r="D1" s="20"/>
      <c r="E1" s="20"/>
      <c r="F1" s="20"/>
      <c r="G1" s="20"/>
    </row>
    <row r="2" customFormat="false" ht="15" hidden="false" customHeight="false" outlineLevel="0" collapsed="false">
      <c r="A2" s="21" t="s">
        <v>59</v>
      </c>
      <c r="D2" s="21" t="s">
        <v>60</v>
      </c>
    </row>
    <row r="4" customFormat="false" ht="15" hidden="false" customHeight="false" outlineLevel="0" collapsed="false">
      <c r="A4" s="22" t="s">
        <v>61</v>
      </c>
      <c r="B4" s="22" t="s">
        <v>62</v>
      </c>
      <c r="C4" s="22" t="s">
        <v>63</v>
      </c>
      <c r="D4" s="22" t="s">
        <v>64</v>
      </c>
      <c r="E4" s="22" t="s">
        <v>65</v>
      </c>
      <c r="F4" s="22" t="s">
        <v>66</v>
      </c>
      <c r="G4" s="22" t="s">
        <v>67</v>
      </c>
    </row>
    <row r="5" customFormat="false" ht="23.85" hidden="false" customHeight="false" outlineLevel="0" collapsed="false">
      <c r="A5" s="7" t="n">
        <v>1</v>
      </c>
      <c r="B5" s="7" t="s">
        <v>68</v>
      </c>
      <c r="C5" s="7" t="s">
        <v>69</v>
      </c>
      <c r="D5" s="23" t="n">
        <v>5</v>
      </c>
      <c r="E5" s="7" t="s">
        <v>70</v>
      </c>
      <c r="F5" s="7" t="s">
        <v>71</v>
      </c>
      <c r="G5" s="7" t="s">
        <v>72</v>
      </c>
    </row>
    <row r="6" customFormat="false" ht="23.85" hidden="false" customHeight="false" outlineLevel="0" collapsed="false">
      <c r="A6" s="3" t="n">
        <v>2</v>
      </c>
      <c r="B6" s="3" t="s">
        <v>73</v>
      </c>
      <c r="C6" s="3" t="s">
        <v>13</v>
      </c>
      <c r="D6" s="24" t="n">
        <v>15</v>
      </c>
      <c r="E6" s="3" t="s">
        <v>74</v>
      </c>
      <c r="F6" s="3" t="s">
        <v>75</v>
      </c>
      <c r="G6" s="3" t="s">
        <v>76</v>
      </c>
    </row>
    <row r="7" customFormat="false" ht="23.85" hidden="false" customHeight="false" outlineLevel="0" collapsed="false">
      <c r="A7" s="7" t="n">
        <v>3</v>
      </c>
      <c r="B7" s="7" t="s">
        <v>77</v>
      </c>
      <c r="C7" s="7" t="s">
        <v>25</v>
      </c>
      <c r="D7" s="23" t="n">
        <v>10</v>
      </c>
      <c r="E7" s="7" t="s">
        <v>78</v>
      </c>
      <c r="F7" s="7" t="s">
        <v>79</v>
      </c>
      <c r="G7" s="7" t="s">
        <v>80</v>
      </c>
    </row>
    <row r="8" customFormat="false" ht="23.85" hidden="false" customHeight="false" outlineLevel="0" collapsed="false">
      <c r="A8" s="3" t="n">
        <v>4</v>
      </c>
      <c r="B8" s="3" t="s">
        <v>81</v>
      </c>
      <c r="C8" s="3" t="s">
        <v>38</v>
      </c>
      <c r="D8" s="24" t="n">
        <v>10</v>
      </c>
      <c r="E8" s="3" t="s">
        <v>82</v>
      </c>
      <c r="F8" s="3" t="s">
        <v>83</v>
      </c>
      <c r="G8" s="3" t="s">
        <v>84</v>
      </c>
    </row>
    <row r="9" customFormat="false" ht="23.85" hidden="false" customHeight="false" outlineLevel="0" collapsed="false">
      <c r="A9" s="7" t="n">
        <v>5</v>
      </c>
      <c r="B9" s="7" t="s">
        <v>85</v>
      </c>
      <c r="C9" s="7" t="s">
        <v>32</v>
      </c>
      <c r="D9" s="23" t="n">
        <v>10</v>
      </c>
      <c r="E9" s="7" t="s">
        <v>86</v>
      </c>
      <c r="F9" s="7" t="s">
        <v>87</v>
      </c>
      <c r="G9" s="7" t="s">
        <v>88</v>
      </c>
    </row>
    <row r="10" customFormat="false" ht="23.85" hidden="false" customHeight="false" outlineLevel="0" collapsed="false">
      <c r="A10" s="3" t="n">
        <v>6</v>
      </c>
      <c r="B10" s="3" t="s">
        <v>89</v>
      </c>
      <c r="C10" s="3" t="s">
        <v>69</v>
      </c>
      <c r="D10" s="24" t="n">
        <v>5</v>
      </c>
      <c r="E10" s="3" t="s">
        <v>90</v>
      </c>
      <c r="F10" s="3" t="s">
        <v>91</v>
      </c>
      <c r="G10" s="3" t="s">
        <v>92</v>
      </c>
    </row>
    <row r="13" customFormat="false" ht="24.75" hidden="false" customHeight="true" outlineLevel="0" collapsed="false">
      <c r="A13" s="13" t="s">
        <v>93</v>
      </c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25" t="s">
        <v>94</v>
      </c>
      <c r="B14" s="25"/>
      <c r="C14" s="25"/>
      <c r="D14" s="25"/>
      <c r="E14" s="25"/>
      <c r="F14" s="25"/>
      <c r="G14" s="25"/>
    </row>
    <row r="15" customFormat="false" ht="15" hidden="false" customHeight="false" outlineLevel="0" collapsed="false">
      <c r="A15" s="25" t="s">
        <v>95</v>
      </c>
      <c r="B15" s="25"/>
      <c r="C15" s="25"/>
      <c r="D15" s="25"/>
      <c r="E15" s="25"/>
      <c r="F15" s="25"/>
      <c r="G15" s="25"/>
    </row>
    <row r="16" customFormat="false" ht="15" hidden="false" customHeight="false" outlineLevel="0" collapsed="false">
      <c r="A16" s="25" t="s">
        <v>96</v>
      </c>
      <c r="B16" s="25"/>
      <c r="C16" s="25"/>
      <c r="D16" s="25"/>
      <c r="E16" s="25"/>
      <c r="F16" s="25"/>
      <c r="G16" s="25"/>
    </row>
    <row r="17" customFormat="false" ht="15" hidden="false" customHeight="false" outlineLevel="0" collapsed="false">
      <c r="A17" s="25" t="s">
        <v>97</v>
      </c>
      <c r="B17" s="25"/>
      <c r="C17" s="25"/>
      <c r="D17" s="25"/>
      <c r="E17" s="25"/>
      <c r="F17" s="25"/>
      <c r="G17" s="25"/>
    </row>
    <row r="18" customFormat="false" ht="15" hidden="false" customHeight="false" outlineLevel="0" collapsed="false">
      <c r="A18" s="25" t="s">
        <v>98</v>
      </c>
      <c r="B18" s="25"/>
      <c r="C18" s="25"/>
      <c r="D18" s="25"/>
      <c r="E18" s="25"/>
      <c r="F18" s="25"/>
      <c r="G18" s="25"/>
    </row>
    <row r="19" customFormat="false" ht="15" hidden="false" customHeight="false" outlineLevel="0" collapsed="false">
      <c r="A19" s="25" t="s">
        <v>99</v>
      </c>
      <c r="B19" s="25"/>
      <c r="C19" s="25"/>
      <c r="D19" s="25"/>
      <c r="E19" s="25"/>
      <c r="F19" s="25"/>
      <c r="G19" s="25"/>
    </row>
  </sheetData>
  <mergeCells count="8">
    <mergeCell ref="A1:G1"/>
    <mergeCell ref="A13:G13"/>
    <mergeCell ref="A14:G14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25"/>
  </cols>
  <sheetData>
    <row r="1" customFormat="false" ht="30" hidden="false" customHeight="true" outlineLevel="0" collapsed="false">
      <c r="A1" s="20" t="s">
        <v>100</v>
      </c>
      <c r="B1" s="20"/>
      <c r="C1" s="20"/>
      <c r="D1" s="20"/>
      <c r="E1" s="20"/>
      <c r="F1" s="20"/>
      <c r="G1" s="20"/>
      <c r="H1" s="20"/>
    </row>
    <row r="3" customFormat="false" ht="15" hidden="false" customHeight="false" outlineLevel="0" collapsed="false">
      <c r="A3" s="26" t="s">
        <v>101</v>
      </c>
      <c r="B3" s="26" t="s">
        <v>102</v>
      </c>
      <c r="C3" s="26" t="s">
        <v>103</v>
      </c>
      <c r="D3" s="26" t="s">
        <v>104</v>
      </c>
      <c r="E3" s="26" t="s">
        <v>105</v>
      </c>
      <c r="F3" s="26" t="s">
        <v>106</v>
      </c>
      <c r="G3" s="26" t="s">
        <v>107</v>
      </c>
      <c r="H3" s="26" t="s">
        <v>108</v>
      </c>
    </row>
    <row r="4" customFormat="false" ht="23.85" hidden="false" customHeight="false" outlineLevel="0" collapsed="false">
      <c r="A4" s="4" t="n">
        <v>46113</v>
      </c>
      <c r="B4" s="3" t="s">
        <v>109</v>
      </c>
      <c r="C4" s="3" t="s">
        <v>110</v>
      </c>
      <c r="D4" s="3" t="s">
        <v>111</v>
      </c>
      <c r="E4" s="3" t="s">
        <v>69</v>
      </c>
      <c r="F4" s="4" t="n">
        <v>46108</v>
      </c>
      <c r="G4" s="5" t="s">
        <v>15</v>
      </c>
      <c r="H4" s="3" t="s">
        <v>112</v>
      </c>
    </row>
    <row r="5" customFormat="false" ht="23.85" hidden="false" customHeight="false" outlineLevel="0" collapsed="false">
      <c r="A5" s="8" t="n">
        <v>46120</v>
      </c>
      <c r="B5" s="7" t="s">
        <v>113</v>
      </c>
      <c r="C5" s="7" t="s">
        <v>114</v>
      </c>
      <c r="D5" s="7" t="s">
        <v>38</v>
      </c>
      <c r="E5" s="7" t="s">
        <v>38</v>
      </c>
      <c r="F5" s="8" t="n">
        <v>46118</v>
      </c>
      <c r="G5" s="9" t="s">
        <v>20</v>
      </c>
      <c r="H5" s="7"/>
    </row>
    <row r="6" customFormat="false" ht="23.85" hidden="false" customHeight="false" outlineLevel="0" collapsed="false">
      <c r="A6" s="4" t="n">
        <v>46127</v>
      </c>
      <c r="B6" s="3" t="s">
        <v>115</v>
      </c>
      <c r="C6" s="3" t="s">
        <v>116</v>
      </c>
      <c r="D6" s="3" t="s">
        <v>117</v>
      </c>
      <c r="E6" s="3" t="s">
        <v>69</v>
      </c>
      <c r="F6" s="4" t="n">
        <v>46122</v>
      </c>
      <c r="G6" s="9" t="s">
        <v>20</v>
      </c>
      <c r="H6" s="3" t="s">
        <v>118</v>
      </c>
    </row>
    <row r="7" customFormat="false" ht="23.85" hidden="false" customHeight="false" outlineLevel="0" collapsed="false">
      <c r="A7" s="8" t="n">
        <v>46134</v>
      </c>
      <c r="B7" s="7" t="s">
        <v>119</v>
      </c>
      <c r="C7" s="7" t="s">
        <v>120</v>
      </c>
      <c r="D7" s="7" t="s">
        <v>121</v>
      </c>
      <c r="E7" s="7" t="s">
        <v>69</v>
      </c>
      <c r="F7" s="8" t="n">
        <v>46129</v>
      </c>
      <c r="G7" s="9" t="s">
        <v>20</v>
      </c>
      <c r="H7" s="7" t="s">
        <v>122</v>
      </c>
    </row>
    <row r="8" customFormat="false" ht="23.85" hidden="false" customHeight="false" outlineLevel="0" collapsed="false">
      <c r="A8" s="4" t="n">
        <v>46143</v>
      </c>
      <c r="B8" s="3" t="s">
        <v>109</v>
      </c>
      <c r="C8" s="3" t="s">
        <v>123</v>
      </c>
      <c r="D8" s="3" t="s">
        <v>111</v>
      </c>
      <c r="E8" s="3" t="s">
        <v>69</v>
      </c>
      <c r="F8" s="4" t="n">
        <v>46140</v>
      </c>
      <c r="G8" s="9" t="s">
        <v>20</v>
      </c>
      <c r="H8" s="3"/>
    </row>
    <row r="9" customFormat="false" ht="23.85" hidden="false" customHeight="false" outlineLevel="0" collapsed="false">
      <c r="A9" s="8" t="n">
        <v>46155</v>
      </c>
      <c r="B9" s="7" t="s">
        <v>113</v>
      </c>
      <c r="C9" s="7" t="s">
        <v>124</v>
      </c>
      <c r="D9" s="7" t="s">
        <v>38</v>
      </c>
      <c r="E9" s="7" t="s">
        <v>38</v>
      </c>
      <c r="F9" s="8" t="n">
        <v>46153</v>
      </c>
      <c r="G9" s="9" t="s">
        <v>20</v>
      </c>
      <c r="H9" s="7"/>
    </row>
    <row r="10" customFormat="false" ht="23.85" hidden="false" customHeight="false" outlineLevel="0" collapsed="false">
      <c r="A10" s="4" t="n">
        <v>46162</v>
      </c>
      <c r="B10" s="3" t="s">
        <v>125</v>
      </c>
      <c r="C10" s="3" t="s">
        <v>126</v>
      </c>
      <c r="D10" s="3" t="s">
        <v>69</v>
      </c>
      <c r="E10" s="3" t="s">
        <v>69</v>
      </c>
      <c r="F10" s="4" t="n">
        <v>46157</v>
      </c>
      <c r="G10" s="9" t="s">
        <v>20</v>
      </c>
      <c r="H10" s="3" t="s">
        <v>127</v>
      </c>
    </row>
    <row r="11" customFormat="false" ht="23.85" hidden="false" customHeight="false" outlineLevel="0" collapsed="false">
      <c r="A11" s="8" t="n">
        <v>46174</v>
      </c>
      <c r="B11" s="7" t="s">
        <v>109</v>
      </c>
      <c r="C11" s="7" t="s">
        <v>128</v>
      </c>
      <c r="D11" s="7" t="s">
        <v>111</v>
      </c>
      <c r="E11" s="7" t="s">
        <v>69</v>
      </c>
      <c r="F11" s="8" t="n">
        <v>46170</v>
      </c>
      <c r="G11" s="9" t="s">
        <v>20</v>
      </c>
      <c r="H11" s="7"/>
    </row>
    <row r="12" customFormat="false" ht="15" hidden="false" customHeight="false" outlineLevel="0" collapsed="false">
      <c r="A12" s="4" t="n">
        <v>46188</v>
      </c>
      <c r="B12" s="3" t="s">
        <v>129</v>
      </c>
      <c r="C12" s="3" t="s">
        <v>130</v>
      </c>
      <c r="D12" s="3" t="s">
        <v>121</v>
      </c>
      <c r="E12" s="3" t="s">
        <v>69</v>
      </c>
      <c r="F12" s="4" t="n">
        <v>46183</v>
      </c>
      <c r="G12" s="9" t="s">
        <v>20</v>
      </c>
      <c r="H12" s="3" t="s">
        <v>131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5"/>
    <col collapsed="false" customWidth="true" hidden="false" outlineLevel="0" max="5" min="5" style="0" width="12"/>
    <col collapsed="false" customWidth="true" hidden="false" outlineLevel="0" max="6" min="6" style="0" width="25"/>
  </cols>
  <sheetData>
    <row r="1" customFormat="false" ht="30" hidden="false" customHeight="true" outlineLevel="0" collapsed="false">
      <c r="A1" s="20" t="s">
        <v>132</v>
      </c>
      <c r="B1" s="20"/>
      <c r="C1" s="20"/>
      <c r="D1" s="20"/>
      <c r="E1" s="20"/>
      <c r="F1" s="20"/>
    </row>
    <row r="2" customFormat="false" ht="15" hidden="false" customHeight="false" outlineLevel="0" collapsed="false">
      <c r="A2" s="21" t="s">
        <v>133</v>
      </c>
      <c r="D2" s="21" t="s">
        <v>134</v>
      </c>
    </row>
    <row r="4" customFormat="false" ht="15" hidden="false" customHeight="false" outlineLevel="0" collapsed="false">
      <c r="A4" s="27" t="s">
        <v>135</v>
      </c>
      <c r="D4" s="27" t="s">
        <v>136</v>
      </c>
    </row>
    <row r="5" customFormat="false" ht="17.35" hidden="false" customHeight="false" outlineLevel="0" collapsed="false">
      <c r="A5" s="28" t="s">
        <v>137</v>
      </c>
      <c r="B5" s="29" t="n">
        <f aca="false">'Deliverable Tracker'!B17</f>
        <v>10</v>
      </c>
      <c r="D5" s="28" t="s">
        <v>138</v>
      </c>
      <c r="E5" s="29" t="n">
        <f aca="false">'Deliverable Tracker'!B18/'Deliverable Tracker'!B17</f>
        <v>0.2</v>
      </c>
    </row>
    <row r="6" customFormat="false" ht="17.35" hidden="false" customHeight="false" outlineLevel="0" collapsed="false">
      <c r="A6" s="28" t="s">
        <v>139</v>
      </c>
      <c r="B6" s="29" t="n">
        <f aca="false">'Deliverable Tracker'!B21</f>
        <v>1</v>
      </c>
      <c r="D6" s="28" t="s">
        <v>140</v>
      </c>
      <c r="E6" s="29" t="n">
        <f aca="false">'Deliverable Tracker'!B20</f>
        <v>1</v>
      </c>
    </row>
    <row r="7" customFormat="false" ht="17.35" hidden="false" customHeight="false" outlineLevel="0" collapsed="false">
      <c r="A7" s="28" t="s">
        <v>141</v>
      </c>
      <c r="B7" s="29" t="n">
        <v>3</v>
      </c>
      <c r="D7" s="28" t="s">
        <v>142</v>
      </c>
      <c r="E7" s="29" t="n">
        <v>2</v>
      </c>
    </row>
    <row r="10" customFormat="false" ht="15" hidden="false" customHeight="false" outlineLevel="0" collapsed="false">
      <c r="A10" s="27" t="s">
        <v>143</v>
      </c>
    </row>
    <row r="11" customFormat="false" ht="15" hidden="false" customHeight="false" outlineLevel="0" collapsed="false">
      <c r="A11" s="30" t="s">
        <v>5</v>
      </c>
      <c r="B11" s="31" t="s">
        <v>144</v>
      </c>
    </row>
    <row r="12" customFormat="false" ht="15" hidden="false" customHeight="false" outlineLevel="0" collapsed="false">
      <c r="A12" s="32" t="s">
        <v>14</v>
      </c>
      <c r="B12" s="33" t="n">
        <v>2</v>
      </c>
    </row>
    <row r="13" customFormat="false" ht="15" hidden="false" customHeight="false" outlineLevel="0" collapsed="false">
      <c r="A13" s="32" t="s">
        <v>19</v>
      </c>
      <c r="B13" s="34" t="n">
        <v>1</v>
      </c>
    </row>
    <row r="14" customFormat="false" ht="15" hidden="false" customHeight="false" outlineLevel="0" collapsed="false">
      <c r="A14" s="32" t="s">
        <v>26</v>
      </c>
      <c r="B14" s="33" t="n">
        <v>2</v>
      </c>
    </row>
    <row r="15" customFormat="false" ht="15" hidden="false" customHeight="false" outlineLevel="0" collapsed="false">
      <c r="A15" s="32" t="s">
        <v>33</v>
      </c>
      <c r="B15" s="35" t="n">
        <v>0</v>
      </c>
    </row>
    <row r="16" customFormat="false" ht="15" hidden="false" customHeight="false" outlineLevel="0" collapsed="false">
      <c r="A16" s="32" t="s">
        <v>39</v>
      </c>
      <c r="B16" s="34" t="n">
        <v>1</v>
      </c>
    </row>
    <row r="17" customFormat="false" ht="15" hidden="false" customHeight="false" outlineLevel="0" collapsed="false">
      <c r="A17" s="32" t="s">
        <v>43</v>
      </c>
      <c r="B17" s="34" t="n">
        <v>1</v>
      </c>
    </row>
    <row r="18" customFormat="false" ht="15" hidden="false" customHeight="false" outlineLevel="0" collapsed="false">
      <c r="A18" s="32" t="s">
        <v>49</v>
      </c>
      <c r="B18" s="34" t="n">
        <v>1</v>
      </c>
    </row>
    <row r="20" customFormat="false" ht="15" hidden="false" customHeight="false" outlineLevel="0" collapsed="false">
      <c r="A20" s="27" t="s">
        <v>145</v>
      </c>
    </row>
    <row r="21" customFormat="false" ht="15" hidden="false" customHeight="false" outlineLevel="0" collapsed="false">
      <c r="A21" s="36" t="s">
        <v>101</v>
      </c>
      <c r="B21" s="36" t="s">
        <v>146</v>
      </c>
      <c r="C21" s="36" t="s">
        <v>4</v>
      </c>
      <c r="D21" s="36" t="s">
        <v>147</v>
      </c>
      <c r="E21" s="36" t="s">
        <v>148</v>
      </c>
    </row>
    <row r="22" customFormat="false" ht="15" hidden="false" customHeight="false" outlineLevel="0" collapsed="false">
      <c r="A22" s="37" t="s">
        <v>149</v>
      </c>
      <c r="B22" s="37" t="s">
        <v>150</v>
      </c>
      <c r="C22" s="37" t="s">
        <v>25</v>
      </c>
      <c r="D22" s="37" t="s">
        <v>151</v>
      </c>
      <c r="E22" s="37" t="s">
        <v>152</v>
      </c>
    </row>
    <row r="23" customFormat="false" ht="15" hidden="false" customHeight="false" outlineLevel="0" collapsed="false">
      <c r="A23" s="37" t="s">
        <v>153</v>
      </c>
      <c r="B23" s="37" t="s">
        <v>154</v>
      </c>
      <c r="C23" s="37" t="s">
        <v>42</v>
      </c>
      <c r="D23" s="37" t="s">
        <v>155</v>
      </c>
      <c r="E23" s="38" t="s">
        <v>156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5555"/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39" t="s">
        <v>157</v>
      </c>
    </row>
    <row r="2" customFormat="false" ht="15" hidden="false" customHeight="false" outlineLevel="0" collapsed="false">
      <c r="A2" s="15"/>
    </row>
    <row r="3" customFormat="false" ht="15" hidden="false" customHeight="false" outlineLevel="0" collapsed="false">
      <c r="A3" s="15" t="s">
        <v>158</v>
      </c>
    </row>
    <row r="4" customFormat="false" ht="15" hidden="false" customHeight="false" outlineLevel="0" collapsed="false">
      <c r="A4" s="15" t="s">
        <v>159</v>
      </c>
    </row>
    <row r="5" customFormat="false" ht="15" hidden="false" customHeight="false" outlineLevel="0" collapsed="false">
      <c r="A5" s="15"/>
    </row>
    <row r="6" customFormat="false" ht="15" hidden="false" customHeight="false" outlineLevel="0" collapsed="false">
      <c r="A6" s="27" t="s">
        <v>160</v>
      </c>
    </row>
    <row r="7" customFormat="false" ht="15" hidden="false" customHeight="false" outlineLevel="0" collapsed="false">
      <c r="A7" s="15" t="s">
        <v>161</v>
      </c>
    </row>
    <row r="8" customFormat="false" ht="15" hidden="false" customHeight="false" outlineLevel="0" collapsed="false">
      <c r="A8" s="15" t="s">
        <v>162</v>
      </c>
    </row>
    <row r="9" customFormat="false" ht="15" hidden="false" customHeight="false" outlineLevel="0" collapsed="false">
      <c r="A9" s="15" t="s">
        <v>163</v>
      </c>
    </row>
    <row r="10" customFormat="false" ht="15" hidden="false" customHeight="false" outlineLevel="0" collapsed="false">
      <c r="A10" s="15" t="s">
        <v>164</v>
      </c>
    </row>
    <row r="11" customFormat="false" ht="15" hidden="false" customHeight="false" outlineLevel="0" collapsed="false">
      <c r="A11" s="15"/>
    </row>
    <row r="12" customFormat="false" ht="15" hidden="false" customHeight="false" outlineLevel="0" collapsed="false">
      <c r="A12" s="27" t="s">
        <v>165</v>
      </c>
    </row>
    <row r="13" customFormat="false" ht="15" hidden="false" customHeight="false" outlineLevel="0" collapsed="false">
      <c r="A13" s="15" t="s">
        <v>166</v>
      </c>
    </row>
    <row r="14" customFormat="false" ht="15" hidden="false" customHeight="false" outlineLevel="0" collapsed="false">
      <c r="A14" s="15" t="s">
        <v>167</v>
      </c>
    </row>
    <row r="15" customFormat="false" ht="15" hidden="false" customHeight="false" outlineLevel="0" collapsed="false">
      <c r="A15" s="15" t="s">
        <v>168</v>
      </c>
    </row>
    <row r="16" customFormat="false" ht="15" hidden="false" customHeight="false" outlineLevel="0" collapsed="false">
      <c r="A16" s="15"/>
    </row>
    <row r="17" customFormat="false" ht="15" hidden="false" customHeight="false" outlineLevel="0" collapsed="false">
      <c r="A17" s="27" t="s">
        <v>169</v>
      </c>
    </row>
    <row r="18" customFormat="false" ht="15" hidden="false" customHeight="false" outlineLevel="0" collapsed="false">
      <c r="A18" s="15" t="s">
        <v>170</v>
      </c>
    </row>
    <row r="19" customFormat="false" ht="15" hidden="false" customHeight="false" outlineLevel="0" collapsed="false">
      <c r="A19" s="15" t="s">
        <v>171</v>
      </c>
    </row>
    <row r="20" customFormat="false" ht="15" hidden="false" customHeight="false" outlineLevel="0" collapsed="false">
      <c r="A20" s="15"/>
    </row>
    <row r="21" customFormat="false" ht="15" hidden="false" customHeight="false" outlineLevel="0" collapsed="false">
      <c r="A21" s="27" t="s">
        <v>172</v>
      </c>
    </row>
    <row r="22" customFormat="false" ht="15" hidden="false" customHeight="false" outlineLevel="0" collapsed="false">
      <c r="A22" s="15" t="s">
        <v>173</v>
      </c>
    </row>
    <row r="23" customFormat="false" ht="15" hidden="false" customHeight="false" outlineLevel="0" collapsed="false">
      <c r="A23" s="15" t="s">
        <v>174</v>
      </c>
    </row>
    <row r="24" customFormat="false" ht="15" hidden="false" customHeight="false" outlineLevel="0" collapsed="false">
      <c r="A24" s="15" t="s">
        <v>175</v>
      </c>
    </row>
    <row r="25" customFormat="false" ht="15" hidden="false" customHeight="false" outlineLevel="0" collapsed="false">
      <c r="A25" s="15"/>
    </row>
    <row r="26" customFormat="false" ht="15" hidden="false" customHeight="false" outlineLevel="0" collapsed="false">
      <c r="A26" s="27" t="s">
        <v>176</v>
      </c>
    </row>
    <row r="27" customFormat="false" ht="15" hidden="false" customHeight="false" outlineLevel="0" collapsed="false">
      <c r="A27" s="15" t="s">
        <v>177</v>
      </c>
    </row>
    <row r="28" customFormat="false" ht="15" hidden="false" customHeight="false" outlineLevel="0" collapsed="false">
      <c r="A28" s="15"/>
    </row>
    <row r="29" customFormat="false" ht="15" hidden="false" customHeight="false" outlineLevel="0" collapsed="false">
      <c r="A29" s="21" t="s">
        <v>178</v>
      </c>
    </row>
    <row r="30" customFormat="false" ht="15" hidden="false" customHeight="false" outlineLevel="0" collapsed="false">
      <c r="A30" s="40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2026-03-23T15:25:49Z</dcterms:created>
  <dc:creator>openpyxl</dc:creator>
  <dc:description/>
  <dc:language>en-US</dc:language>
  <cp:lastModifiedBy/>
  <dcterms:modified xsi:type="dcterms:W3CDTF">2026-03-23T15:25:49Z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