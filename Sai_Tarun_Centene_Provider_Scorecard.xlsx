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_Data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Trend_Chart" sheetId="3" state="visible" r:id="rId3"/>
    <sheet xmlns:r="http://schemas.openxmlformats.org/officeDocument/2006/relationships" name="SQL_Queries" sheetId="4" state="visible" r:id="rId4"/>
    <sheet xmlns:r="http://schemas.openxmlformats.org/officeDocument/2006/relationships" name="Executiv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+0.0%;-0.0%;0.0%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3"/>
    </font>
    <font>
      <name val="Arial"/>
      <i val="1"/>
      <color rgb="001F3864"/>
      <sz val="9"/>
    </font>
    <font>
      <name val="Arial"/>
      <b val="1"/>
      <color rgb="00FFFFFF"/>
      <sz val="10"/>
    </font>
    <font>
      <name val="Arial"/>
      <b val="1"/>
      <color rgb="00276221"/>
      <sz val="10"/>
    </font>
    <font>
      <name val="Arial"/>
      <b val="1"/>
      <color rgb="009C0006"/>
      <sz val="10"/>
    </font>
    <font>
      <name val="Arial"/>
      <b val="1"/>
      <color rgb="009C5700"/>
      <sz val="10"/>
    </font>
    <font>
      <name val="Arial"/>
      <b val="1"/>
      <color rgb="001F3864"/>
      <sz val="10"/>
    </font>
    <font>
      <name val="Arial"/>
      <b val="1"/>
      <color rgb="00FFFFFF"/>
      <sz val="12"/>
    </font>
    <font>
      <name val="Courier New"/>
      <color rgb="001F3864"/>
      <sz val="9"/>
    </font>
    <font>
      <name val="Arial"/>
      <i val="1"/>
      <color rgb="002E5FA3"/>
      <sz val="9"/>
    </font>
    <font>
      <name val="Arial"/>
      <b val="1"/>
      <color rgb="00000000"/>
      <sz val="10"/>
    </font>
    <font>
      <name val="Arial"/>
      <color rgb="001F3864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2E5FA3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6" fontId="2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166" fontId="6" fillId="7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" fillId="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14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Provider Cost Per Episode: Q1 vs Q2 vs Q3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'Trend_Chart'!C2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'Trend_Chart'!$A$3:$A$7</f>
            </numRef>
          </cat>
          <val>
            <numRef>
              <f>'Trend_Chart'!$C$3:$C$7</f>
            </numRef>
          </val>
        </ser>
        <ser>
          <idx val="1"/>
          <order val="1"/>
          <tx>
            <strRef>
              <f>'Trend_Chart'!D2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'Trend_Chart'!$A$3:$A$7</f>
            </numRef>
          </cat>
          <val>
            <numRef>
              <f>'Trend_Chart'!$D$3:$D$7</f>
            </numRef>
          </val>
        </ser>
        <ser>
          <idx val="2"/>
          <order val="2"/>
          <tx>
            <strRef>
              <f>'Trend_Chart'!E2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'Trend_Chart'!$A$3:$A$7</f>
            </numRef>
          </cat>
          <val>
            <numRef>
              <f>'Trend_Chart'!$E$3:$E$7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Provider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2" customWidth="1" min="4" max="4"/>
    <col width="20" customWidth="1" min="5" max="5"/>
    <col width="18" customWidth="1" min="6" max="6"/>
    <col width="14" customWidth="1" min="7" max="7"/>
    <col width="16" customWidth="1" min="8" max="8"/>
    <col width="18" customWidth="1" min="9" max="9"/>
    <col width="20" customWidth="1" min="10" max="10"/>
    <col width="10" customWidth="1" min="11" max="11"/>
    <col width="10" customWidth="1" min="12" max="12"/>
    <col width="10" customWidth="1" min="13" max="13"/>
  </cols>
  <sheetData>
    <row r="1" ht="30" customHeight="1">
      <c r="A1" s="1" t="inlineStr">
        <is>
          <t>Provider_ID</t>
        </is>
      </c>
      <c r="B1" s="1" t="inlineStr">
        <is>
          <t>Provider_Name</t>
        </is>
      </c>
      <c r="C1" s="1" t="inlineStr">
        <is>
          <t>Specialty</t>
        </is>
      </c>
      <c r="D1" s="1" t="inlineStr">
        <is>
          <t>Region</t>
        </is>
      </c>
      <c r="E1" s="1" t="inlineStr">
        <is>
          <t>Q3_Cost_Per_Episode</t>
        </is>
      </c>
      <c r="F1" s="1" t="inlineStr">
        <is>
          <t>Network_Avg_Cost</t>
        </is>
      </c>
      <c r="G1" s="1" t="inlineStr">
        <is>
          <t>ER_Visit_Rate</t>
        </is>
      </c>
      <c r="H1" s="1" t="inlineStr">
        <is>
          <t>Readmission_Rate</t>
        </is>
      </c>
      <c r="I1" s="1" t="inlineStr">
        <is>
          <t>HbA1c_Control_Rate</t>
        </is>
      </c>
      <c r="J1" s="1" t="inlineStr">
        <is>
          <t>Preventive_Screen_Rate</t>
        </is>
      </c>
      <c r="K1" s="1" t="inlineStr">
        <is>
          <t>Q1_Cost</t>
        </is>
      </c>
      <c r="L1" s="1" t="inlineStr">
        <is>
          <t>Q2_Cost</t>
        </is>
      </c>
      <c r="M1" s="1" t="inlineStr">
        <is>
          <t>Q3_Cost</t>
        </is>
      </c>
    </row>
    <row r="2">
      <c r="A2" s="2" t="inlineStr">
        <is>
          <t>P001</t>
        </is>
      </c>
      <c r="B2" s="3" t="inlineStr">
        <is>
          <t>Riverside Medical Group</t>
        </is>
      </c>
      <c r="C2" s="2" t="inlineStr">
        <is>
          <t>Primary Care</t>
        </is>
      </c>
      <c r="D2" s="2" t="inlineStr">
        <is>
          <t>Midwest</t>
        </is>
      </c>
      <c r="E2" s="4" t="n">
        <v>1240</v>
      </c>
      <c r="F2" s="4" t="n">
        <v>1350</v>
      </c>
      <c r="G2" s="5" t="n">
        <v>0.12</v>
      </c>
      <c r="H2" s="5" t="n">
        <v>0.08</v>
      </c>
      <c r="I2" s="5" t="n">
        <v>0.74</v>
      </c>
      <c r="J2" s="5" t="n">
        <v>0.8100000000000001</v>
      </c>
      <c r="K2" s="4" t="n">
        <v>1380</v>
      </c>
      <c r="L2" s="4" t="n">
        <v>1290</v>
      </c>
      <c r="M2" s="4" t="n">
        <v>1240</v>
      </c>
    </row>
    <row r="3">
      <c r="A3" s="6" t="inlineStr">
        <is>
          <t>P002</t>
        </is>
      </c>
      <c r="B3" s="7" t="inlineStr">
        <is>
          <t>Lakeview Health Partners</t>
        </is>
      </c>
      <c r="C3" s="6" t="inlineStr">
        <is>
          <t>Primary Care</t>
        </is>
      </c>
      <c r="D3" s="6" t="inlineStr">
        <is>
          <t>Northeast</t>
        </is>
      </c>
      <c r="E3" s="8" t="n">
        <v>1580</v>
      </c>
      <c r="F3" s="8" t="n">
        <v>1350</v>
      </c>
      <c r="G3" s="9" t="n">
        <v>0.19</v>
      </c>
      <c r="H3" s="9" t="n">
        <v>0.14</v>
      </c>
      <c r="I3" s="9" t="n">
        <v>0.61</v>
      </c>
      <c r="J3" s="9" t="n">
        <v>0.68</v>
      </c>
      <c r="K3" s="8" t="n">
        <v>1490</v>
      </c>
      <c r="L3" s="8" t="n">
        <v>1530</v>
      </c>
      <c r="M3" s="8" t="n">
        <v>1580</v>
      </c>
    </row>
    <row r="4">
      <c r="A4" s="2" t="inlineStr">
        <is>
          <t>P003</t>
        </is>
      </c>
      <c r="B4" s="3" t="inlineStr">
        <is>
          <t>Summit Care Associates</t>
        </is>
      </c>
      <c r="C4" s="2" t="inlineStr">
        <is>
          <t>Specialist</t>
        </is>
      </c>
      <c r="D4" s="2" t="inlineStr">
        <is>
          <t>South</t>
        </is>
      </c>
      <c r="E4" s="4" t="n">
        <v>2100</v>
      </c>
      <c r="F4" s="4" t="n">
        <v>2200</v>
      </c>
      <c r="G4" s="5" t="n">
        <v>0.09</v>
      </c>
      <c r="H4" s="5" t="n">
        <v>0.06</v>
      </c>
      <c r="I4" s="5" t="n">
        <v>0.82</v>
      </c>
      <c r="J4" s="5" t="n">
        <v>0.88</v>
      </c>
      <c r="K4" s="4" t="n">
        <v>2300</v>
      </c>
      <c r="L4" s="4" t="n">
        <v>2180</v>
      </c>
      <c r="M4" s="4" t="n">
        <v>2100</v>
      </c>
    </row>
    <row r="5">
      <c r="A5" s="6" t="inlineStr">
        <is>
          <t>P004</t>
        </is>
      </c>
      <c r="B5" s="7" t="inlineStr">
        <is>
          <t>Parkview Physician Group</t>
        </is>
      </c>
      <c r="C5" s="6" t="inlineStr">
        <is>
          <t>Primary Care</t>
        </is>
      </c>
      <c r="D5" s="6" t="inlineStr">
        <is>
          <t>West</t>
        </is>
      </c>
      <c r="E5" s="8" t="n">
        <v>1410</v>
      </c>
      <c r="F5" s="8" t="n">
        <v>1350</v>
      </c>
      <c r="G5" s="9" t="n">
        <v>0.15</v>
      </c>
      <c r="H5" s="9" t="n">
        <v>0.11</v>
      </c>
      <c r="I5" s="9" t="n">
        <v>0.6899999999999999</v>
      </c>
      <c r="J5" s="9" t="n">
        <v>0.75</v>
      </c>
      <c r="K5" s="8" t="n">
        <v>1440</v>
      </c>
      <c r="L5" s="8" t="n">
        <v>1420</v>
      </c>
      <c r="M5" s="8" t="n">
        <v>1410</v>
      </c>
    </row>
    <row r="6">
      <c r="A6" s="2" t="inlineStr">
        <is>
          <t>P005</t>
        </is>
      </c>
      <c r="B6" s="3" t="inlineStr">
        <is>
          <t>Central Valley Clinic</t>
        </is>
      </c>
      <c r="C6" s="2" t="inlineStr">
        <is>
          <t>Specialist</t>
        </is>
      </c>
      <c r="D6" s="2" t="inlineStr">
        <is>
          <t>Midwest</t>
        </is>
      </c>
      <c r="E6" s="4" t="n">
        <v>2450</v>
      </c>
      <c r="F6" s="4" t="n">
        <v>2200</v>
      </c>
      <c r="G6" s="5" t="n">
        <v>0.22</v>
      </c>
      <c r="H6" s="5" t="n">
        <v>0.17</v>
      </c>
      <c r="I6" s="5" t="n">
        <v>0.55</v>
      </c>
      <c r="J6" s="5" t="n">
        <v>0.61</v>
      </c>
      <c r="K6" s="4" t="n">
        <v>2200</v>
      </c>
      <c r="L6" s="4" t="n">
        <v>2310</v>
      </c>
      <c r="M6" s="4" t="n">
        <v>2450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2" customWidth="1" min="4" max="4"/>
    <col width="14" customWidth="1" min="5" max="5"/>
    <col width="12" customWidth="1" min="6" max="6"/>
    <col width="13" customWidth="1" min="7" max="7"/>
    <col width="1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2" customHeight="1">
      <c r="A1" s="10" t="inlineStr">
        <is>
          <t>CENTENE PROVIDER NETWORK PERFORMANCE SCORECARD — Q3 2025</t>
        </is>
      </c>
    </row>
    <row r="2" ht="18" customHeight="1">
      <c r="A2" s="11" t="inlineStr">
        <is>
          <t>Analyst: Sai Tarun Reddy  |  Data Source: Provider Claims (CMS-modeled)  |  Network Avg Cost reflects specialty-adjusted baseline</t>
        </is>
      </c>
    </row>
    <row r="3" ht="28" customHeight="1">
      <c r="A3" s="12" t="inlineStr">
        <is>
          <t>Provider ID</t>
        </is>
      </c>
      <c r="B3" s="12" t="inlineStr">
        <is>
          <t>Provider Name</t>
        </is>
      </c>
      <c r="C3" s="12" t="inlineStr">
        <is>
          <t>Specialty</t>
        </is>
      </c>
      <c r="D3" s="12" t="inlineStr">
        <is>
          <t>Region</t>
        </is>
      </c>
      <c r="E3" s="12" t="inlineStr">
        <is>
          <t>Cost vs Network</t>
        </is>
      </c>
      <c r="F3" s="12" t="inlineStr">
        <is>
          <t>Cost Rating</t>
        </is>
      </c>
      <c r="G3" s="12" t="inlineStr">
        <is>
          <t>ER Visit Rate</t>
        </is>
      </c>
      <c r="H3" s="12" t="inlineStr">
        <is>
          <t>ER Rating</t>
        </is>
      </c>
      <c r="I3" s="12" t="inlineStr">
        <is>
          <t>HbA1c Control</t>
        </is>
      </c>
      <c r="J3" s="12" t="inlineStr">
        <is>
          <t>Quality Rating</t>
        </is>
      </c>
      <c r="K3" s="12" t="inlineStr">
        <is>
          <t>QoQ Cost Trend</t>
        </is>
      </c>
      <c r="L3" s="12" t="inlineStr">
        <is>
          <t>Overall Rating</t>
        </is>
      </c>
    </row>
    <row r="4">
      <c r="A4" s="2">
        <f>Provider_Data!A2</f>
        <v/>
      </c>
      <c r="B4" s="3">
        <f>Provider_Data!B2</f>
        <v/>
      </c>
      <c r="C4" s="2">
        <f>Provider_Data!C2</f>
        <v/>
      </c>
      <c r="D4" s="2">
        <f>Provider_Data!D2</f>
        <v/>
      </c>
      <c r="E4" s="13">
        <f>(Provider_Data!F2-Provider_Data!E2)/Provider_Data!F2</f>
        <v/>
      </c>
      <c r="F4" s="14">
        <f>IF((Provider_Data!F2-Provider_Data!E2)/Provider_Data!F2&gt;=0.05,"Green",IF((Provider_Data!F2-Provider_Data!E2)/Provider_Data!F2&lt;=-0.05,"Red","Amber"))</f>
        <v/>
      </c>
      <c r="G4" s="5">
        <f>Provider_Data!G2</f>
        <v/>
      </c>
      <c r="H4" s="14">
        <f>IF(Provider_Data!G2&lt;0.13,"Green",IF(Provider_Data!G2&lt;=0.17,"Amber","Red"))</f>
        <v/>
      </c>
      <c r="I4" s="5">
        <f>Provider_Data!I2</f>
        <v/>
      </c>
      <c r="J4" s="14">
        <f>IF(Provider_Data!I2&gt;0.72,"Green",IF(Provider_Data!I2&gt;=0.65,"Amber","Red"))</f>
        <v/>
      </c>
      <c r="K4" s="13">
        <f>(Provider_Data!M2-Provider_Data!K2)/Provider_Data!K2</f>
        <v/>
      </c>
      <c r="L4" s="14">
        <f>IF(COUNTIF(F4,"Red")+COUNTIF(H4,"Red")+COUNTIF(J4,"Red")&gt;=2,"Red",IF(COUNTIF(F4,"Green")+COUNTIF(H4,"Green")+COUNTIF(J4,"Green")&gt;=3,"Green","Amber"))</f>
        <v/>
      </c>
    </row>
    <row r="5">
      <c r="A5" s="6">
        <f>Provider_Data!A3</f>
        <v/>
      </c>
      <c r="B5" s="7">
        <f>Provider_Data!B3</f>
        <v/>
      </c>
      <c r="C5" s="6">
        <f>Provider_Data!C3</f>
        <v/>
      </c>
      <c r="D5" s="6">
        <f>Provider_Data!D3</f>
        <v/>
      </c>
      <c r="E5" s="15">
        <f>(Provider_Data!F3-Provider_Data!E3)/Provider_Data!F3</f>
        <v/>
      </c>
      <c r="F5" s="16">
        <f>IF((Provider_Data!F3-Provider_Data!E3)/Provider_Data!F3&gt;=0.05,"Green",IF((Provider_Data!F3-Provider_Data!E3)/Provider_Data!F3&lt;=-0.05,"Red","Amber"))</f>
        <v/>
      </c>
      <c r="G5" s="9">
        <f>Provider_Data!G3</f>
        <v/>
      </c>
      <c r="H5" s="16">
        <f>IF(Provider_Data!G3&lt;0.13,"Green",IF(Provider_Data!G3&lt;=0.17,"Amber","Red"))</f>
        <v/>
      </c>
      <c r="I5" s="9">
        <f>Provider_Data!I3</f>
        <v/>
      </c>
      <c r="J5" s="16">
        <f>IF(Provider_Data!I3&gt;0.72,"Green",IF(Provider_Data!I3&gt;=0.65,"Amber","Red"))</f>
        <v/>
      </c>
      <c r="K5" s="15">
        <f>(Provider_Data!M3-Provider_Data!K3)/Provider_Data!K3</f>
        <v/>
      </c>
      <c r="L5" s="16">
        <f>IF(COUNTIF(F5,"Red")+COUNTIF(H5,"Red")+COUNTIF(J5,"Red")&gt;=2,"Red",IF(COUNTIF(F5,"Green")+COUNTIF(H5,"Green")+COUNTIF(J5,"Green")&gt;=3,"Green","Amber"))</f>
        <v/>
      </c>
    </row>
    <row r="6">
      <c r="A6" s="2">
        <f>Provider_Data!A4</f>
        <v/>
      </c>
      <c r="B6" s="3">
        <f>Provider_Data!B4</f>
        <v/>
      </c>
      <c r="C6" s="2">
        <f>Provider_Data!C4</f>
        <v/>
      </c>
      <c r="D6" s="2">
        <f>Provider_Data!D4</f>
        <v/>
      </c>
      <c r="E6" s="13">
        <f>(Provider_Data!F4-Provider_Data!E4)/Provider_Data!F4</f>
        <v/>
      </c>
      <c r="F6" s="14">
        <f>IF((Provider_Data!F4-Provider_Data!E4)/Provider_Data!F4&gt;=0.05,"Green",IF((Provider_Data!F4-Provider_Data!E4)/Provider_Data!F4&lt;=-0.05,"Red","Amber"))</f>
        <v/>
      </c>
      <c r="G6" s="5">
        <f>Provider_Data!G4</f>
        <v/>
      </c>
      <c r="H6" s="14">
        <f>IF(Provider_Data!G4&lt;0.13,"Green",IF(Provider_Data!G4&lt;=0.17,"Amber","Red"))</f>
        <v/>
      </c>
      <c r="I6" s="5">
        <f>Provider_Data!I4</f>
        <v/>
      </c>
      <c r="J6" s="14">
        <f>IF(Provider_Data!I4&gt;0.72,"Green",IF(Provider_Data!I4&gt;=0.65,"Amber","Red"))</f>
        <v/>
      </c>
      <c r="K6" s="13">
        <f>(Provider_Data!M4-Provider_Data!K4)/Provider_Data!K4</f>
        <v/>
      </c>
      <c r="L6" s="14">
        <f>IF(COUNTIF(F6,"Red")+COUNTIF(H6,"Red")+COUNTIF(J6,"Red")&gt;=2,"Red",IF(COUNTIF(F6,"Green")+COUNTIF(H6,"Green")+COUNTIF(J6,"Green")&gt;=3,"Green","Amber"))</f>
        <v/>
      </c>
    </row>
    <row r="7">
      <c r="A7" s="6">
        <f>Provider_Data!A5</f>
        <v/>
      </c>
      <c r="B7" s="7">
        <f>Provider_Data!B5</f>
        <v/>
      </c>
      <c r="C7" s="6">
        <f>Provider_Data!C5</f>
        <v/>
      </c>
      <c r="D7" s="6">
        <f>Provider_Data!D5</f>
        <v/>
      </c>
      <c r="E7" s="15">
        <f>(Provider_Data!F5-Provider_Data!E5)/Provider_Data!F5</f>
        <v/>
      </c>
      <c r="F7" s="17">
        <f>IF((Provider_Data!F5-Provider_Data!E5)/Provider_Data!F5&gt;=0.05,"Green",IF((Provider_Data!F5-Provider_Data!E5)/Provider_Data!F5&lt;=-0.05,"Red","Amber"))</f>
        <v/>
      </c>
      <c r="G7" s="9">
        <f>Provider_Data!G5</f>
        <v/>
      </c>
      <c r="H7" s="17">
        <f>IF(Provider_Data!G5&lt;0.13,"Green",IF(Provider_Data!G5&lt;=0.17,"Amber","Red"))</f>
        <v/>
      </c>
      <c r="I7" s="9">
        <f>Provider_Data!I5</f>
        <v/>
      </c>
      <c r="J7" s="17">
        <f>IF(Provider_Data!I5&gt;0.72,"Green",IF(Provider_Data!I5&gt;=0.65,"Amber","Red"))</f>
        <v/>
      </c>
      <c r="K7" s="15">
        <f>(Provider_Data!M5-Provider_Data!K5)/Provider_Data!K5</f>
        <v/>
      </c>
      <c r="L7" s="17">
        <f>IF(COUNTIF(F7,"Red")+COUNTIF(H7,"Red")+COUNTIF(J7,"Red")&gt;=2,"Red",IF(COUNTIF(F7,"Green")+COUNTIF(H7,"Green")+COUNTIF(J7,"Green")&gt;=3,"Green","Amber"))</f>
        <v/>
      </c>
    </row>
    <row r="8">
      <c r="A8" s="2">
        <f>Provider_Data!A6</f>
        <v/>
      </c>
      <c r="B8" s="3">
        <f>Provider_Data!B6</f>
        <v/>
      </c>
      <c r="C8" s="2">
        <f>Provider_Data!C6</f>
        <v/>
      </c>
      <c r="D8" s="2">
        <f>Provider_Data!D6</f>
        <v/>
      </c>
      <c r="E8" s="13">
        <f>(Provider_Data!F6-Provider_Data!E6)/Provider_Data!F6</f>
        <v/>
      </c>
      <c r="F8" s="16">
        <f>IF((Provider_Data!F6-Provider_Data!E6)/Provider_Data!F6&gt;=0.05,"Green",IF((Provider_Data!F6-Provider_Data!E6)/Provider_Data!F6&lt;=-0.05,"Red","Amber"))</f>
        <v/>
      </c>
      <c r="G8" s="5">
        <f>Provider_Data!G6</f>
        <v/>
      </c>
      <c r="H8" s="16">
        <f>IF(Provider_Data!G6&lt;0.13,"Green",IF(Provider_Data!G6&lt;=0.17,"Amber","Red"))</f>
        <v/>
      </c>
      <c r="I8" s="5">
        <f>Provider_Data!I6</f>
        <v/>
      </c>
      <c r="J8" s="16">
        <f>IF(Provider_Data!I6&gt;0.72,"Green",IF(Provider_Data!I6&gt;=0.65,"Amber","Red"))</f>
        <v/>
      </c>
      <c r="K8" s="13">
        <f>(Provider_Data!M6-Provider_Data!K6)/Provider_Data!K6</f>
        <v/>
      </c>
      <c r="L8" s="16">
        <f>IF(COUNTIF(F8,"Red")+COUNTIF(H8,"Red")+COUNTIF(J8,"Red")&gt;=2,"Red",IF(COUNTIF(F8,"Green")+COUNTIF(H8,"Green")+COUNTIF(J8,"Green")&gt;=3,"Green","Amber"))</f>
        <v/>
      </c>
    </row>
    <row r="10">
      <c r="A10" s="18" t="inlineStr">
        <is>
          <t>RATING LEGEND</t>
        </is>
      </c>
    </row>
    <row r="11">
      <c r="A11" s="14" t="inlineStr">
        <is>
          <t>Green</t>
        </is>
      </c>
      <c r="B11" s="3" t="inlineStr">
        <is>
          <t>Performing above target</t>
        </is>
      </c>
    </row>
    <row r="12">
      <c r="A12" s="17" t="inlineStr">
        <is>
          <t>Amber</t>
        </is>
      </c>
      <c r="B12" s="3" t="inlineStr">
        <is>
          <t>Monitor — within tolerance</t>
        </is>
      </c>
    </row>
    <row r="13">
      <c r="A13" s="16" t="inlineStr">
        <is>
          <t>Red</t>
        </is>
      </c>
      <c r="B13" s="3" t="inlineStr">
        <is>
          <t>Action required</t>
        </is>
      </c>
    </row>
  </sheetData>
  <mergeCells count="6">
    <mergeCell ref="A10:C10"/>
    <mergeCell ref="B13:C13"/>
    <mergeCell ref="A2:L2"/>
    <mergeCell ref="B11:C11"/>
    <mergeCell ref="A1:L1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3" customWidth="1" min="6" max="6"/>
  </cols>
  <sheetData>
    <row r="1" ht="28" customHeight="1">
      <c r="A1" s="19" t="inlineStr">
        <is>
          <t>PROVIDER COST TREND — Q1 to Q3 2025</t>
        </is>
      </c>
    </row>
    <row r="2" ht="24" customHeight="1">
      <c r="A2" s="12" t="inlineStr">
        <is>
          <t>Provider</t>
        </is>
      </c>
      <c r="B2" s="12" t="inlineStr">
        <is>
          <t>Specialty</t>
        </is>
      </c>
      <c r="C2" s="12" t="inlineStr">
        <is>
          <t>Q1 Cost</t>
        </is>
      </c>
      <c r="D2" s="12" t="inlineStr">
        <is>
          <t>Q2 Cost</t>
        </is>
      </c>
      <c r="E2" s="12" t="inlineStr">
        <is>
          <t>Q3 Cost</t>
        </is>
      </c>
      <c r="F2" s="12" t="inlineStr">
        <is>
          <t>QoQ Change</t>
        </is>
      </c>
    </row>
    <row r="3">
      <c r="A3" s="7">
        <f>Provider_Data!B2</f>
        <v/>
      </c>
      <c r="B3" s="6">
        <f>Provider_Data!C2</f>
        <v/>
      </c>
      <c r="C3" s="8">
        <f>Provider_Data!K2</f>
        <v/>
      </c>
      <c r="D3" s="8">
        <f>Provider_Data!L2</f>
        <v/>
      </c>
      <c r="E3" s="8">
        <f>Provider_Data!M2</f>
        <v/>
      </c>
      <c r="F3" s="20">
        <f>(Provider_Data!M2-Provider_Data!K2)/Provider_Data!K2</f>
        <v/>
      </c>
    </row>
    <row r="4">
      <c r="A4" s="3">
        <f>Provider_Data!B3</f>
        <v/>
      </c>
      <c r="B4" s="2">
        <f>Provider_Data!C3</f>
        <v/>
      </c>
      <c r="C4" s="4">
        <f>Provider_Data!K3</f>
        <v/>
      </c>
      <c r="D4" s="4">
        <f>Provider_Data!L3</f>
        <v/>
      </c>
      <c r="E4" s="4">
        <f>Provider_Data!M3</f>
        <v/>
      </c>
      <c r="F4" s="21">
        <f>(Provider_Data!M3-Provider_Data!K3)/Provider_Data!K3</f>
        <v/>
      </c>
    </row>
    <row r="5">
      <c r="A5" s="7">
        <f>Provider_Data!B4</f>
        <v/>
      </c>
      <c r="B5" s="6">
        <f>Provider_Data!C4</f>
        <v/>
      </c>
      <c r="C5" s="8">
        <f>Provider_Data!K4</f>
        <v/>
      </c>
      <c r="D5" s="8">
        <f>Provider_Data!L4</f>
        <v/>
      </c>
      <c r="E5" s="8">
        <f>Provider_Data!M4</f>
        <v/>
      </c>
      <c r="F5" s="20">
        <f>(Provider_Data!M4-Provider_Data!K4)/Provider_Data!K4</f>
        <v/>
      </c>
    </row>
    <row r="6">
      <c r="A6" s="3">
        <f>Provider_Data!B5</f>
        <v/>
      </c>
      <c r="B6" s="2">
        <f>Provider_Data!C5</f>
        <v/>
      </c>
      <c r="C6" s="4">
        <f>Provider_Data!K5</f>
        <v/>
      </c>
      <c r="D6" s="4">
        <f>Provider_Data!L5</f>
        <v/>
      </c>
      <c r="E6" s="4">
        <f>Provider_Data!M5</f>
        <v/>
      </c>
      <c r="F6" s="20">
        <f>(Provider_Data!M5-Provider_Data!K5)/Provider_Data!K5</f>
        <v/>
      </c>
    </row>
    <row r="7">
      <c r="A7" s="7">
        <f>Provider_Data!B6</f>
        <v/>
      </c>
      <c r="B7" s="6">
        <f>Provider_Data!C6</f>
        <v/>
      </c>
      <c r="C7" s="8">
        <f>Provider_Data!K6</f>
        <v/>
      </c>
      <c r="D7" s="8">
        <f>Provider_Data!L6</f>
        <v/>
      </c>
      <c r="E7" s="8">
        <f>Provider_Data!M6</f>
        <v/>
      </c>
      <c r="F7" s="21">
        <f>(Provider_Data!M6-Provider_Data!K6)/Provider_Data!K6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10" customWidth="1" min="3" max="3"/>
    <col width="10" customWidth="1" min="4" max="4"/>
  </cols>
  <sheetData>
    <row r="1" ht="28" customHeight="1">
      <c r="A1" s="19" t="inlineStr">
        <is>
          <t>SQL VALIDATION QUERIES — Provider Analytics</t>
        </is>
      </c>
    </row>
    <row r="3">
      <c r="A3" s="12" t="inlineStr">
        <is>
          <t>Query 1</t>
        </is>
      </c>
      <c r="B3" s="22" t="inlineStr">
        <is>
          <t>Cost Efficiency vs Network Average</t>
        </is>
      </c>
    </row>
    <row r="4" ht="16" customHeight="1">
      <c r="A4" s="23" t="inlineStr">
        <is>
          <t>SELECT</t>
        </is>
      </c>
    </row>
    <row r="5" ht="16" customHeight="1">
      <c r="A5" s="23" t="inlineStr">
        <is>
          <t xml:space="preserve">  provider_id,</t>
        </is>
      </c>
    </row>
    <row r="6" ht="16" customHeight="1">
      <c r="A6" s="23" t="inlineStr">
        <is>
          <t xml:space="preserve">  provider_name,</t>
        </is>
      </c>
    </row>
    <row r="7" ht="16" customHeight="1">
      <c r="A7" s="23" t="inlineStr">
        <is>
          <t xml:space="preserve">  region,</t>
        </is>
      </c>
    </row>
    <row r="8" ht="16" customHeight="1">
      <c r="A8" s="23" t="inlineStr">
        <is>
          <t xml:space="preserve">  q3_cost_per_episode,</t>
        </is>
      </c>
    </row>
    <row r="9" ht="16" customHeight="1">
      <c r="A9" s="23" t="inlineStr">
        <is>
          <t xml:space="preserve">  network_avg_cost,</t>
        </is>
      </c>
    </row>
    <row r="10" ht="16" customHeight="1">
      <c r="A10" s="23" t="inlineStr">
        <is>
          <t xml:space="preserve">  ROUND((network_avg_cost - q3_cost_per_episode)</t>
        </is>
      </c>
    </row>
    <row r="11" ht="16" customHeight="1">
      <c r="A11" s="23" t="inlineStr">
        <is>
          <t xml:space="preserve">        / network_avg_cost * 100, 1)        AS cost_variance_pct,</t>
        </is>
      </c>
    </row>
    <row r="12" ht="16" customHeight="1">
      <c r="A12" s="23" t="inlineStr">
        <is>
          <t xml:space="preserve">  CASE</t>
        </is>
      </c>
    </row>
    <row r="13" ht="16" customHeight="1">
      <c r="A13" s="23" t="inlineStr">
        <is>
          <t xml:space="preserve">    WHEN (network_avg_cost - q3_cost_per_episode)</t>
        </is>
      </c>
    </row>
    <row r="14" ht="16" customHeight="1">
      <c r="A14" s="23" t="inlineStr">
        <is>
          <t xml:space="preserve">         / network_avg_cost &gt;= 0.05         THEN 'Green'</t>
        </is>
      </c>
    </row>
    <row r="15" ht="16" customHeight="1">
      <c r="A15" s="23" t="inlineStr">
        <is>
          <t xml:space="preserve">    WHEN (network_avg_cost - q3_cost_per_episode)</t>
        </is>
      </c>
    </row>
    <row r="16" ht="16" customHeight="1">
      <c r="A16" s="23" t="inlineStr">
        <is>
          <t xml:space="preserve">         / network_avg_cost &lt;= -0.05        THEN 'Red'</t>
        </is>
      </c>
    </row>
    <row r="17" ht="16" customHeight="1">
      <c r="A17" s="23" t="inlineStr">
        <is>
          <t xml:space="preserve">    ELSE 'Amber'</t>
        </is>
      </c>
    </row>
    <row r="18" ht="16" customHeight="1">
      <c r="A18" s="23" t="inlineStr">
        <is>
          <t xml:space="preserve">  END                                        AS cost_rating</t>
        </is>
      </c>
    </row>
    <row r="19" ht="16" customHeight="1">
      <c r="A19" s="23" t="inlineStr">
        <is>
          <t>FROM provider_data</t>
        </is>
      </c>
    </row>
    <row r="20" ht="16" customHeight="1">
      <c r="A20" s="23" t="inlineStr">
        <is>
          <t>ORDER BY cost_variance_pct DESC;</t>
        </is>
      </c>
    </row>
    <row r="22">
      <c r="A22" s="12" t="inlineStr">
        <is>
          <t>Query 2</t>
        </is>
      </c>
      <c r="B22" s="22" t="inlineStr">
        <is>
          <t>ER Utilization Root Cause Flag</t>
        </is>
      </c>
    </row>
    <row r="23" ht="16" customHeight="1">
      <c r="A23" s="23" t="inlineStr">
        <is>
          <t>SELECT</t>
        </is>
      </c>
    </row>
    <row r="24" ht="16" customHeight="1">
      <c r="A24" s="23" t="inlineStr">
        <is>
          <t xml:space="preserve">  provider_id,</t>
        </is>
      </c>
    </row>
    <row r="25" ht="16" customHeight="1">
      <c r="A25" s="23" t="inlineStr">
        <is>
          <t xml:space="preserve">  provider_name,</t>
        </is>
      </c>
    </row>
    <row r="26" ht="16" customHeight="1">
      <c r="A26" s="23" t="inlineStr">
        <is>
          <t xml:space="preserve">  er_visit_rate,</t>
        </is>
      </c>
    </row>
    <row r="27" ht="16" customHeight="1">
      <c r="A27" s="23" t="inlineStr">
        <is>
          <t xml:space="preserve">  readmission_rate,</t>
        </is>
      </c>
    </row>
    <row r="28" ht="16" customHeight="1">
      <c r="A28" s="23" t="inlineStr">
        <is>
          <t xml:space="preserve">  CASE</t>
        </is>
      </c>
    </row>
    <row r="29" ht="16" customHeight="1">
      <c r="A29" s="23" t="inlineStr">
        <is>
          <t xml:space="preserve">    WHEN er_visit_rate &gt; 0.17</t>
        </is>
      </c>
    </row>
    <row r="30" ht="16" customHeight="1">
      <c r="A30" s="23" t="inlineStr">
        <is>
          <t xml:space="preserve">     AND readmission_rate &gt; 0.13  THEN 'High Risk — Review Contract'</t>
        </is>
      </c>
    </row>
    <row r="31" ht="16" customHeight="1">
      <c r="A31" s="23" t="inlineStr">
        <is>
          <t xml:space="preserve">    WHEN er_visit_rate &gt; 0.13     THEN 'Monitor — Elevated ER Usage'</t>
        </is>
      </c>
    </row>
    <row r="32" ht="16" customHeight="1">
      <c r="A32" s="23" t="inlineStr">
        <is>
          <t xml:space="preserve">    ELSE                               'Within Target'</t>
        </is>
      </c>
    </row>
    <row r="33" ht="16" customHeight="1">
      <c r="A33" s="23" t="inlineStr">
        <is>
          <t xml:space="preserve">  END AS utilization_flag</t>
        </is>
      </c>
    </row>
    <row r="34" ht="16" customHeight="1">
      <c r="A34" s="23" t="inlineStr">
        <is>
          <t>FROM provider_data</t>
        </is>
      </c>
    </row>
    <row r="35" ht="16" customHeight="1">
      <c r="A35" s="23" t="inlineStr">
        <is>
          <t>ORDER BY er_visit_rate DESC;</t>
        </is>
      </c>
    </row>
    <row r="37">
      <c r="A37" s="12" t="inlineStr">
        <is>
          <t>Query 3</t>
        </is>
      </c>
      <c r="B37" s="22" t="inlineStr">
        <is>
          <t>Quarter-over-Quarter Cost Trend</t>
        </is>
      </c>
    </row>
    <row r="38" ht="16" customHeight="1">
      <c r="A38" s="23" t="inlineStr">
        <is>
          <t>SELECT</t>
        </is>
      </c>
    </row>
    <row r="39" ht="16" customHeight="1">
      <c r="A39" s="23" t="inlineStr">
        <is>
          <t xml:space="preserve">  provider_id,</t>
        </is>
      </c>
    </row>
    <row r="40" ht="16" customHeight="1">
      <c r="A40" s="23" t="inlineStr">
        <is>
          <t xml:space="preserve">  provider_name,</t>
        </is>
      </c>
    </row>
    <row r="41" ht="16" customHeight="1">
      <c r="A41" s="23" t="inlineStr">
        <is>
          <t xml:space="preserve">  q1_cost,</t>
        </is>
      </c>
    </row>
    <row r="42" ht="16" customHeight="1">
      <c r="A42" s="23" t="inlineStr">
        <is>
          <t xml:space="preserve">  q2_cost,</t>
        </is>
      </c>
    </row>
    <row r="43" ht="16" customHeight="1">
      <c r="A43" s="23" t="inlineStr">
        <is>
          <t xml:space="preserve">  q3_cost,</t>
        </is>
      </c>
    </row>
    <row r="44" ht="16" customHeight="1">
      <c r="A44" s="23" t="inlineStr">
        <is>
          <t xml:space="preserve">  ROUND((q3_cost - q1_cost) / q1_cost * 100, 1) AS cost_trend_pct,</t>
        </is>
      </c>
    </row>
    <row r="45" ht="16" customHeight="1">
      <c r="A45" s="23" t="inlineStr">
        <is>
          <t xml:space="preserve">  CASE</t>
        </is>
      </c>
    </row>
    <row r="46" ht="16" customHeight="1">
      <c r="A46" s="23" t="inlineStr">
        <is>
          <t xml:space="preserve">    WHEN (q3_cost - q1_cost) / q1_cost &gt; 0.05  THEN 'Escalating — Flag for Review'</t>
        </is>
      </c>
    </row>
    <row r="47" ht="16" customHeight="1">
      <c r="A47" s="23" t="inlineStr">
        <is>
          <t xml:space="preserve">    WHEN (q3_cost - q1_cost) / q1_cost &lt; -0.05 THEN 'Improving'</t>
        </is>
      </c>
    </row>
    <row r="48" ht="16" customHeight="1">
      <c r="A48" s="23" t="inlineStr">
        <is>
          <t xml:space="preserve">    ELSE                                             'Stable'</t>
        </is>
      </c>
    </row>
    <row r="49" ht="16" customHeight="1">
      <c r="A49" s="23" t="inlineStr">
        <is>
          <t xml:space="preserve">  END AS trend_flag</t>
        </is>
      </c>
    </row>
    <row r="50" ht="16" customHeight="1">
      <c r="A50" s="23" t="inlineStr">
        <is>
          <t>FROM provider_data</t>
        </is>
      </c>
    </row>
    <row r="51" ht="16" customHeight="1">
      <c r="A51" s="23" t="inlineStr">
        <is>
          <t>ORDER BY cost_trend_pct DESC;</t>
        </is>
      </c>
    </row>
    <row r="53">
      <c r="A53" s="12" t="inlineStr">
        <is>
          <t>Query 4</t>
        </is>
      </c>
      <c r="B53" s="22" t="inlineStr">
        <is>
          <t>Data Irregularity / Outlier Detection</t>
        </is>
      </c>
    </row>
    <row r="54" ht="16" customHeight="1">
      <c r="A54" s="23" t="inlineStr">
        <is>
          <t>SELECT</t>
        </is>
      </c>
    </row>
    <row r="55" ht="16" customHeight="1">
      <c r="A55" s="23" t="inlineStr">
        <is>
          <t xml:space="preserve">  provider_id,</t>
        </is>
      </c>
    </row>
    <row r="56" ht="16" customHeight="1">
      <c r="A56" s="23" t="inlineStr">
        <is>
          <t xml:space="preserve">  provider_name,</t>
        </is>
      </c>
    </row>
    <row r="57" ht="16" customHeight="1">
      <c r="A57" s="23" t="inlineStr">
        <is>
          <t xml:space="preserve">  q3_cost_per_episode,</t>
        </is>
      </c>
    </row>
    <row r="58" ht="16" customHeight="1">
      <c r="A58" s="23" t="inlineStr">
        <is>
          <t xml:space="preserve">  network_avg_cost,</t>
        </is>
      </c>
    </row>
    <row r="59" ht="16" customHeight="1">
      <c r="A59" s="23" t="inlineStr">
        <is>
          <t xml:space="preserve">  ABS(q3_cost_per_episode - network_avg_cost)</t>
        </is>
      </c>
    </row>
    <row r="60" ht="16" customHeight="1">
      <c r="A60" s="23" t="inlineStr">
        <is>
          <t xml:space="preserve">      / network_avg_cost              AS deviation_pct,</t>
        </is>
      </c>
    </row>
    <row r="61" ht="16" customHeight="1">
      <c r="A61" s="23" t="inlineStr">
        <is>
          <t xml:space="preserve">  er_visit_rate,</t>
        </is>
      </c>
    </row>
    <row r="62" ht="16" customHeight="1">
      <c r="A62" s="23" t="inlineStr">
        <is>
          <t xml:space="preserve">  hba1c_control_rate,</t>
        </is>
      </c>
    </row>
    <row r="63" ht="16" customHeight="1">
      <c r="A63" s="23" t="inlineStr">
        <is>
          <t xml:space="preserve">  CASE</t>
        </is>
      </c>
    </row>
    <row r="64" ht="16" customHeight="1">
      <c r="A64" s="23" t="inlineStr">
        <is>
          <t xml:space="preserve">    WHEN ABS(q3_cost_per_episode - network_avg_cost)</t>
        </is>
      </c>
    </row>
    <row r="65" ht="16" customHeight="1">
      <c r="A65" s="23" t="inlineStr">
        <is>
          <t xml:space="preserve">         / network_avg_cost &gt; 0.20   THEN 'Outlier — Validate Claims'</t>
        </is>
      </c>
    </row>
    <row r="66" ht="16" customHeight="1">
      <c r="A66" s="23" t="inlineStr">
        <is>
          <t xml:space="preserve">    ELSE                                  'Within Normal Range'</t>
        </is>
      </c>
    </row>
    <row r="67" ht="16" customHeight="1">
      <c r="A67" s="23" t="inlineStr">
        <is>
          <t xml:space="preserve">  END AS data_flag</t>
        </is>
      </c>
    </row>
    <row r="68" ht="16" customHeight="1">
      <c r="A68" s="23" t="inlineStr">
        <is>
          <t>FROM provider_data</t>
        </is>
      </c>
    </row>
    <row r="69" ht="16" customHeight="1">
      <c r="A69" s="23" t="inlineStr">
        <is>
          <t>WHERE q3_cost_per_episode IS NOT NULL</t>
        </is>
      </c>
    </row>
    <row r="70" ht="16" customHeight="1">
      <c r="A70" s="23" t="inlineStr">
        <is>
          <t>ORDER BY deviation_pct DESC;</t>
        </is>
      </c>
    </row>
  </sheetData>
  <mergeCells count="66">
    <mergeCell ref="A5:D5"/>
    <mergeCell ref="A17:D17"/>
    <mergeCell ref="A23:D23"/>
    <mergeCell ref="A8:D8"/>
    <mergeCell ref="A35:D35"/>
    <mergeCell ref="A4:D4"/>
    <mergeCell ref="A62:D62"/>
    <mergeCell ref="A20:D20"/>
    <mergeCell ref="A38:D38"/>
    <mergeCell ref="A29:D29"/>
    <mergeCell ref="A43:D43"/>
    <mergeCell ref="B53:D53"/>
    <mergeCell ref="A19:D19"/>
    <mergeCell ref="A63:D63"/>
    <mergeCell ref="A10:D10"/>
    <mergeCell ref="A28:D28"/>
    <mergeCell ref="A13:D13"/>
    <mergeCell ref="A68:D68"/>
    <mergeCell ref="A44:D44"/>
    <mergeCell ref="A40:D40"/>
    <mergeCell ref="A9:D9"/>
    <mergeCell ref="A67:D67"/>
    <mergeCell ref="A31:D31"/>
    <mergeCell ref="B37:D37"/>
    <mergeCell ref="A58:D58"/>
    <mergeCell ref="A34:D34"/>
    <mergeCell ref="A48:D48"/>
    <mergeCell ref="A30:D30"/>
    <mergeCell ref="A39:D39"/>
    <mergeCell ref="A15:D15"/>
    <mergeCell ref="A59:D59"/>
    <mergeCell ref="A64:D64"/>
    <mergeCell ref="A24:D24"/>
    <mergeCell ref="A11:D11"/>
    <mergeCell ref="A49:D49"/>
    <mergeCell ref="A51:D51"/>
    <mergeCell ref="A60:D60"/>
    <mergeCell ref="A1:D1"/>
    <mergeCell ref="A45:D45"/>
    <mergeCell ref="A70:D70"/>
    <mergeCell ref="A61:D61"/>
    <mergeCell ref="A6:D6"/>
    <mergeCell ref="A69:D69"/>
    <mergeCell ref="A54:D54"/>
    <mergeCell ref="A7:D7"/>
    <mergeCell ref="A25:D25"/>
    <mergeCell ref="A65:D65"/>
    <mergeCell ref="A41:D41"/>
    <mergeCell ref="A16:D16"/>
    <mergeCell ref="A46:D46"/>
    <mergeCell ref="A66:D66"/>
    <mergeCell ref="B3:D3"/>
    <mergeCell ref="A18:D18"/>
    <mergeCell ref="A27:D27"/>
    <mergeCell ref="A56:D56"/>
    <mergeCell ref="A12:D12"/>
    <mergeCell ref="B22:D22"/>
    <mergeCell ref="A50:D50"/>
    <mergeCell ref="A26:D26"/>
    <mergeCell ref="A55:D55"/>
    <mergeCell ref="A57:D57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2" customHeight="1">
      <c r="A1" s="10" t="inlineStr">
        <is>
          <t>PROVIDER NETWORK PERFORMANCE — FINDINGS MEMO</t>
        </is>
      </c>
    </row>
    <row r="2">
      <c r="A2" s="24" t="inlineStr">
        <is>
          <t>CONFIDENTIAL — FOR INTERNAL USE ONLY</t>
        </is>
      </c>
    </row>
    <row r="3" ht="15" customHeight="1">
      <c r="A3" s="25" t="inlineStr">
        <is>
          <t>TO:</t>
        </is>
      </c>
      <c r="B3" s="26" t="inlineStr">
        <is>
          <t>Provider Analytics Leadership</t>
        </is>
      </c>
    </row>
    <row r="4" ht="15" customHeight="1">
      <c r="A4" s="25" t="inlineStr">
        <is>
          <t>FROM:</t>
        </is>
      </c>
      <c r="B4" s="26" t="inlineStr">
        <is>
          <t>Sai Tarun Reddy, Data Analyst</t>
        </is>
      </c>
    </row>
    <row r="5" ht="15" customHeight="1">
      <c r="A5" s="25" t="inlineStr">
        <is>
          <t>DATE:</t>
        </is>
      </c>
      <c r="B5" s="26" t="inlineStr">
        <is>
          <t>April 2026</t>
        </is>
      </c>
    </row>
    <row r="6" ht="21" customHeight="1">
      <c r="A6" s="25" t="inlineStr">
        <is>
          <t>RE:</t>
        </is>
      </c>
      <c r="B6" s="27" t="inlineStr">
        <is>
          <t>Provider Network Performance Scorecard — Q3 2025 Sample Analysis</t>
        </is>
      </c>
    </row>
    <row r="7" ht="28" customHeight="1">
      <c r="A7" s="25" t="inlineStr">
        <is>
          <t>DATA SOURCE:</t>
        </is>
      </c>
      <c r="B7" s="26" t="inlineStr">
        <is>
          <t>CMS Medicare-modeled provider claims data. SQL validation queries in SQL_Queries tab.</t>
        </is>
      </c>
    </row>
    <row r="9" ht="22" customHeight="1">
      <c r="A9" s="28" t="inlineStr">
        <is>
          <t>EXECUTIVE SUMMARY</t>
        </is>
      </c>
    </row>
    <row r="10" ht="55" customHeight="1">
      <c r="A10" s="29" t="inlineStr">
        <is>
          <t>Summary</t>
        </is>
      </c>
      <c r="B10" s="26" t="inlineStr">
        <is>
          <t>This scorecard evaluates 5 providers across four dimensions: cost efficiency vs. network average, ER utilization rate, HbA1c clinical quality, and quarter-over-quarter cost trend. Two providers require immediate action. One is a top performer suitable for network recognition. All findings include data validation flags and recommended next steps.</t>
        </is>
      </c>
    </row>
    <row r="12" ht="22" customHeight="1">
      <c r="A12" s="28" t="inlineStr">
        <is>
          <t>KEY FINDINGS</t>
        </is>
      </c>
    </row>
    <row r="13" ht="15" customHeight="1">
      <c r="A13" s="30" t="inlineStr">
        <is>
          <t>P002 — Lakeview Health Partners (RED)</t>
        </is>
      </c>
      <c r="B13" s="31" t="inlineStr"/>
    </row>
    <row r="14" ht="55" customHeight="1">
      <c r="A14" s="32" t="inlineStr"/>
      <c r="B14" s="33" t="inlineStr">
        <is>
          <t>Highest-cost primary care provider at $1,580/episode — 17% above network average. ER visit rate of 0.19 and worsening cost trend across all three quarters (+6.0% Q1 to Q3). Recommend contract review and care management outreach to the patient panel.</t>
        </is>
      </c>
    </row>
    <row r="15" ht="15" customHeight="1">
      <c r="A15" s="30" t="inlineStr">
        <is>
          <t>P005 — Central Valley Clinic (RED)</t>
        </is>
      </c>
      <c r="B15" s="31" t="inlineStr"/>
    </row>
    <row r="16" ht="55" customHeight="1">
      <c r="A16" s="32" t="inlineStr"/>
      <c r="B16" s="33" t="inlineStr">
        <is>
          <t>Sharpest cost escalation in the cohort (+11.4% Q1 to Q3) and lowest HbA1c control rate at 55%. The combination of rising cost and deteriorating clinical outcomes indicates a gap in chronic disease management. Validate claims data for coding irregularities given the outlier trajectory.</t>
        </is>
      </c>
    </row>
    <row r="17" ht="15" customHeight="1">
      <c r="A17" s="34" t="inlineStr">
        <is>
          <t>P001 — Riverside Medical Group (GREEN)</t>
        </is>
      </c>
      <c r="B17" s="35" t="inlineStr"/>
    </row>
    <row r="18" ht="55" customHeight="1">
      <c r="A18" s="32" t="inlineStr"/>
      <c r="B18" s="33" t="inlineStr">
        <is>
          <t>Strongest performer — 8.1% below network average cost, improving trend across all three quarters, and above-threshold scores on all four quality indicators. Recommend recognition in next network performance communication and use as a benchmark for peer comparison.</t>
        </is>
      </c>
    </row>
    <row r="19" ht="15" customHeight="1">
      <c r="A19" s="36" t="inlineStr">
        <is>
          <t>P003 &amp; P004 — Summit Care / Parkview (AMBER)</t>
        </is>
      </c>
      <c r="B19" s="37" t="inlineStr"/>
    </row>
    <row r="20" ht="55" customHeight="1">
      <c r="A20" s="32" t="inlineStr"/>
      <c r="B20" s="33" t="inlineStr">
        <is>
          <t>Both providers are within acceptable tolerance on cost and quality metrics. Summit Care shows a favorable cost trend (-8.7%). Continue monitoring; no action required this quarter.</t>
        </is>
      </c>
    </row>
    <row r="22" ht="22" customHeight="1">
      <c r="A22" s="28" t="inlineStr">
        <is>
          <t>RECOMMENDED ACTIONS</t>
        </is>
      </c>
    </row>
    <row r="23" ht="35" customHeight="1">
      <c r="A23" s="25" t="inlineStr">
        <is>
          <t>Action 1</t>
        </is>
      </c>
      <c r="B23" s="26" t="inlineStr">
        <is>
          <t>Flag P002 and P005 for Q4 utilization management review. Escalate to network strategy team.</t>
        </is>
      </c>
    </row>
    <row r="24" ht="35" customHeight="1">
      <c r="A24" s="25" t="inlineStr">
        <is>
          <t>Action 2</t>
        </is>
      </c>
      <c r="B24" s="26" t="inlineStr">
        <is>
          <t>Run claims data audit on P005 using Query 4 (SQL_Queries tab) to rule out coding irregularities before contract action.</t>
        </is>
      </c>
    </row>
    <row r="25" ht="35" customHeight="1">
      <c r="A25" s="25" t="inlineStr">
        <is>
          <t>Action 3</t>
        </is>
      </c>
      <c r="B25" s="26" t="inlineStr">
        <is>
          <t>Recognize P001 in next network performance communication. Share benchmark metrics with peer providers.</t>
        </is>
      </c>
    </row>
    <row r="26" ht="35" customHeight="1">
      <c r="A26" s="25" t="inlineStr">
        <is>
          <t>Action 4</t>
        </is>
      </c>
      <c r="B26" s="26" t="inlineStr">
        <is>
          <t>Establish Q4 baseline targets using this scorecard structure. Automate monthly refresh using SQL queries in appendix.</t>
        </is>
      </c>
    </row>
  </sheetData>
  <mergeCells count="23">
    <mergeCell ref="B4:F4"/>
    <mergeCell ref="B7:F7"/>
    <mergeCell ref="B16:F16"/>
    <mergeCell ref="B25:F25"/>
    <mergeCell ref="B3:F3"/>
    <mergeCell ref="A12:F12"/>
    <mergeCell ref="B18:F18"/>
    <mergeCell ref="A2:F2"/>
    <mergeCell ref="A22:F22"/>
    <mergeCell ref="B23:F23"/>
    <mergeCell ref="B14:F14"/>
    <mergeCell ref="B17:F17"/>
    <mergeCell ref="B13:F13"/>
    <mergeCell ref="B10:F10"/>
    <mergeCell ref="A9:F9"/>
    <mergeCell ref="B19:F19"/>
    <mergeCell ref="B6:F6"/>
    <mergeCell ref="B24:F24"/>
    <mergeCell ref="B20:F20"/>
    <mergeCell ref="B15:F15"/>
    <mergeCell ref="A1:F1"/>
    <mergeCell ref="B5:F5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2026-04-08T15:55:52Z</dcterms:created>
  <dcterms:modified xmlns:dcterms="http://purl.org/dc/terms/" xmlns:xsi="http://www.w3.org/2001/XMLSchema-instance" xsi:type="dcterms:W3CDTF">2026-04-08T15:55:52Z</dcterms:modified>
</cp:coreProperties>
</file>