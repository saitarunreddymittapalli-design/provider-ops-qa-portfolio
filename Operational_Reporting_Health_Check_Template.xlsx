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ing Health Check" sheetId="1" state="visible" r:id="rId3"/>
    <sheet name="Dashboard Summary" sheetId="2" state="visible" r:id="rId4"/>
    <sheet name="Validation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<sst xmlns="http://schemas.openxmlformats.org/spreadsheetml/2006/main" count="93" uniqueCount="90">
  <si>
    <t xml:space="preserve">Operational Reporting Health Check</t>
  </si>
  <si>
    <t xml:space="preserve">Template for recurring report inventory, validation tracking, and RAG status monitoring</t>
  </si>
  <si>
    <t xml:space="preserve">Prepared by: Sai Tarun Reddy Mittapalli  |  Date: March 2026</t>
  </si>
  <si>
    <t xml:space="preserve">Report Name</t>
  </si>
  <si>
    <t xml:space="preserve">Refresh Frequency</t>
  </si>
  <si>
    <t xml:space="preserve">Last Validated Date</t>
  </si>
  <si>
    <t xml:space="preserve">Data Source</t>
  </si>
  <si>
    <t xml:space="preserve">Report Owner</t>
  </si>
  <si>
    <t xml:space="preserve">Known Quality Issues</t>
  </si>
  <si>
    <t xml:space="preserve">Days Since Validation</t>
  </si>
  <si>
    <t xml:space="preserve">RAG Status</t>
  </si>
  <si>
    <t xml:space="preserve">Action Required</t>
  </si>
  <si>
    <t xml:space="preserve">Monthly Vision Claims Summary</t>
  </si>
  <si>
    <t xml:space="preserve">Monthly</t>
  </si>
  <si>
    <t xml:space="preserve">2026-03-01</t>
  </si>
  <si>
    <t xml:space="preserve">Claims Processing DB (SQL)</t>
  </si>
  <si>
    <t xml:space="preserve">Claims Ops Manager</t>
  </si>
  <si>
    <t xml:space="preserve">None</t>
  </si>
  <si>
    <t xml:space="preserve">No action needed</t>
  </si>
  <si>
    <t xml:space="preserve">Weekly Provider Network Activity</t>
  </si>
  <si>
    <t xml:space="preserve">Weekly</t>
  </si>
  <si>
    <t xml:space="preserve">2026-03-10</t>
  </si>
  <si>
    <t xml:space="preserve">Provider Portal + CRM</t>
  </si>
  <si>
    <t xml:space="preserve">Network Ops Lead</t>
  </si>
  <si>
    <t xml:space="preserve">Duplicate provider IDs in Q1 load</t>
  </si>
  <si>
    <t xml:space="preserve">Dedup script needed before next refresh</t>
  </si>
  <si>
    <t xml:space="preserve">Member Enrollment Reconciliation</t>
  </si>
  <si>
    <t xml:space="preserve">2026-02-15</t>
  </si>
  <si>
    <t xml:space="preserve">Enrollment System (EDI 834)</t>
  </si>
  <si>
    <t xml:space="preserve">Enrollment Analyst</t>
  </si>
  <si>
    <t xml:space="preserve">3% variance vs. carrier file — unresolved</t>
  </si>
  <si>
    <t xml:space="preserve">Root cause analysis required</t>
  </si>
  <si>
    <t xml:space="preserve">Quarterly Call Center Performance</t>
  </si>
  <si>
    <t xml:space="preserve">Quarterly</t>
  </si>
  <si>
    <t xml:space="preserve">2025-12-31</t>
  </si>
  <si>
    <t xml:space="preserve">Telephony + ServiceNow</t>
  </si>
  <si>
    <t xml:space="preserve">Member Services Director</t>
  </si>
  <si>
    <t xml:space="preserve">Handle time calc excludes after-call work</t>
  </si>
  <si>
    <t xml:space="preserve">Redefine metric with stakeholders</t>
  </si>
  <si>
    <t xml:space="preserve">Daily Authorization Turnaround</t>
  </si>
  <si>
    <t xml:space="preserve">Daily</t>
  </si>
  <si>
    <t xml:space="preserve">2026-03-18</t>
  </si>
  <si>
    <t xml:space="preserve">Auth System (API feed)</t>
  </si>
  <si>
    <t xml:space="preserve">Clinical Ops Analyst</t>
  </si>
  <si>
    <t xml:space="preserve">Annual Regulatory Compliance Report</t>
  </si>
  <si>
    <t xml:space="preserve">Annually</t>
  </si>
  <si>
    <t xml:space="preserve">2025-06-30</t>
  </si>
  <si>
    <t xml:space="preserve">Multiple (Claims, Enrollment, Finance)</t>
  </si>
  <si>
    <t xml:space="preserve">Compliance Officer</t>
  </si>
  <si>
    <t xml:space="preserve">Manual data pulls — no automation</t>
  </si>
  <si>
    <t xml:space="preserve">Automate data extraction pipeline</t>
  </si>
  <si>
    <t xml:space="preserve">Reporting Health Dashboard</t>
  </si>
  <si>
    <t xml:space="preserve">Auto-calculated from Reporting Health Check tab</t>
  </si>
  <si>
    <t xml:space="preserve">Total Reports</t>
  </si>
  <si>
    <t xml:space="preserve">Green (Healthy)</t>
  </si>
  <si>
    <t xml:space="preserve">Amber (At Risk)</t>
  </si>
  <si>
    <t xml:space="preserve">Red (Overdue)</t>
  </si>
  <si>
    <t xml:space="preserve">Health Rate (% Green)</t>
  </si>
  <si>
    <t xml:space="preserve">At-Risk Rate (% Amber + Red)</t>
  </si>
  <si>
    <t xml:space="preserve">Status</t>
  </si>
  <si>
    <t xml:space="preserve">Count</t>
  </si>
  <si>
    <t xml:space="preserve">Green</t>
  </si>
  <si>
    <t xml:space="preserve">Amber</t>
  </si>
  <si>
    <t xml:space="preserve">Red</t>
  </si>
  <si>
    <t xml:space="preserve">Data Validation Checklist</t>
  </si>
  <si>
    <t xml:space="preserve">Run these checks before distributing any recurring operational report</t>
  </si>
  <si>
    <t xml:space="preserve">#</t>
  </si>
  <si>
    <t xml:space="preserve">Validation Step</t>
  </si>
  <si>
    <t xml:space="preserve">Description</t>
  </si>
  <si>
    <t xml:space="preserve">Pass/Fail</t>
  </si>
  <si>
    <t xml:space="preserve">Row Count Verification</t>
  </si>
  <si>
    <t xml:space="preserve">Compare record count against source system. Flag if delta exceeds 1%.</t>
  </si>
  <si>
    <t xml:space="preserve">Null/Blank Check</t>
  </si>
  <si>
    <t xml:space="preserve">Scan all required fields for null, blank, or placeholder values (e.g., 'N/A', '0000').</t>
  </si>
  <si>
    <t xml:space="preserve">Duplicate Detection</t>
  </si>
  <si>
    <t xml:space="preserve">Check for duplicate records on primary key fields (Member ID, Claim ID, Provider NPI).</t>
  </si>
  <si>
    <t xml:space="preserve">Date Range Validation</t>
  </si>
  <si>
    <t xml:space="preserve">Confirm reporting period dates fall within expected range. No future dates in historical reports.</t>
  </si>
  <si>
    <t xml:space="preserve">Referential Integrity</t>
  </si>
  <si>
    <t xml:space="preserve">Verify all foreign keys (Provider ID, Plan ID) match valid records in reference tables.</t>
  </si>
  <si>
    <t xml:space="preserve">Variance Analysis</t>
  </si>
  <si>
    <t xml:space="preserve">Compare current period totals against prior period. Investigate any variance exceeding 10%.</t>
  </si>
  <si>
    <t xml:space="preserve">Outlier Detection</t>
  </si>
  <si>
    <t xml:space="preserve">Flag values beyond 2 standard deviations from mean (claim amounts, turnaround times).</t>
  </si>
  <si>
    <t xml:space="preserve">Cross-Source Reconciliation</t>
  </si>
  <si>
    <t xml:space="preserve">Match totals between independent data sources (e.g., claims system vs. finance ledger).</t>
  </si>
  <si>
    <t xml:space="preserve">Format &amp; Encoding Check</t>
  </si>
  <si>
    <t xml:space="preserve">Verify date formats (YYYY-MM-DD), currency formatting, and UTF-8 encoding consistency.</t>
  </si>
  <si>
    <t xml:space="preserve">Stakeholder Sign-Off</t>
  </si>
  <si>
    <t xml:space="preserve">Obtain verbal or written confirmation from data owner before distribution.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</si>
</sst>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4C6E7"/>
      <rgbColor rgb="FF77777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39C12"/>
      <rgbColor rgb="FFE74C3C"/>
      <rgbColor rgb="FF4F81BD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Health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39c1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'Dashboard Summary'!$A$11:$A$13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'Dashboard Summary'!$B$11:$B$13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3</xdr:col>
      <xdr:colOff>1107720</xdr:colOff>
      <xdr:row>36</xdr:row>
      <xdr:rowOff>128520</xdr:rowOff>
    </xdr:to>
    <xdr:graphicFrame>
      <xdr:nvGraphicFramePr>
        <xdr:cNvPr id="0" name="Chart 1"/>
        <xdr:cNvGraphicFramePr/>
      </xdr:nvGraphicFramePr>
      <xdr:xfrm>
        <a:off x="0" y="33336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5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39.75" hidden="false" customHeight="true" outlineLevel="0" collapsed="false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6" t="n">
        <f aca="true">IF(C6="","N/A",TODAY()-C6)</f>
        <v>18</v>
      </c>
      <c r="H6" s="7" t="str">
        <f aca="false">IF(G6="N/A","N/A",IF(G6&lt;=30,"Green",IF(G6&lt;=60,"Amber","Red")))</f>
        <v>Green</v>
      </c>
      <c r="I6" s="5" t="s">
        <v>18</v>
      </c>
    </row>
    <row r="7" customFormat="false" ht="39.75" hidden="false" customHeight="true" outlineLevel="0" collapsed="false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6" t="n">
        <f aca="true">IF(C7="","N/A",TODAY()-C7)</f>
        <v>9</v>
      </c>
      <c r="H7" s="7" t="str">
        <f aca="false">IF(G7="N/A","N/A",IF(G7&lt;=30,"Green",IF(G7&lt;=60,"Amber","Red")))</f>
        <v>Green</v>
      </c>
      <c r="I7" s="5" t="s">
        <v>25</v>
      </c>
    </row>
    <row r="8" customFormat="false" ht="39.75" hidden="false" customHeight="true" outlineLevel="0" collapsed="false">
      <c r="A8" s="5" t="s">
        <v>26</v>
      </c>
      <c r="B8" s="5" t="s">
        <v>13</v>
      </c>
      <c r="C8" s="5" t="s">
        <v>27</v>
      </c>
      <c r="D8" s="5" t="s">
        <v>28</v>
      </c>
      <c r="E8" s="5" t="s">
        <v>29</v>
      </c>
      <c r="F8" s="5" t="s">
        <v>30</v>
      </c>
      <c r="G8" s="6" t="n">
        <f aca="true">IF(C8="","N/A",TODAY()-C8)</f>
        <v>32</v>
      </c>
      <c r="H8" s="7" t="str">
        <f aca="false">IF(G8="N/A","N/A",IF(G8&lt;=30,"Green",IF(G8&lt;=60,"Amber","Red")))</f>
        <v>Amber</v>
      </c>
      <c r="I8" s="5" t="s">
        <v>31</v>
      </c>
    </row>
    <row r="9" customFormat="false" ht="39.75" hidden="false" customHeight="true" outlineLevel="0" collapsed="false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6" t="n">
        <f aca="true">IF(C9="","N/A",TODAY()-C9)</f>
        <v>78</v>
      </c>
      <c r="H9" s="7" t="str">
        <f aca="false">IF(G9="N/A","N/A",IF(G9&lt;=30,"Green",IF(G9&lt;=60,"Amber","Red")))</f>
        <v>Red</v>
      </c>
      <c r="I9" s="5" t="s">
        <v>38</v>
      </c>
    </row>
    <row r="10" customFormat="false" ht="39.75" hidden="false" customHeight="true" outlineLevel="0" collapsed="false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17</v>
      </c>
      <c r="G10" s="6" t="n">
        <f aca="true">IF(C10="","N/A",TODAY()-C10)</f>
        <v>1</v>
      </c>
      <c r="H10" s="7" t="str">
        <f aca="false">IF(G10="N/A","N/A",IF(G10&lt;=30,"Green",IF(G10&lt;=60,"Amber","Red")))</f>
        <v>Green</v>
      </c>
      <c r="I10" s="5" t="s">
        <v>18</v>
      </c>
    </row>
    <row r="11" customFormat="false" ht="39.75" hidden="false" customHeight="true" outlineLevel="0" collapsed="false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6" t="n">
        <f aca="true">IF(C11="","N/A",TODAY()-C11)</f>
        <v>262</v>
      </c>
      <c r="H11" s="7" t="str">
        <f aca="false">IF(G11="N/A","N/A",IF(G11&lt;=30,"Green",IF(G11&lt;=60,"Amber","Red")))</f>
        <v>Red</v>
      </c>
      <c r="I11" s="5" t="s">
        <v>50</v>
      </c>
    </row>
  </sheetData>
  <mergeCells count="3">
    <mergeCell ref="A1:I1"/>
    <mergeCell ref="A2:I2"/>
    <mergeCell ref="A3:I3"/>
  </mergeCells>
  <conditionalFormatting sqref="H6:H100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8" t="s">
        <v>53</v>
      </c>
      <c r="B4" s="8" t="s">
        <v>54</v>
      </c>
      <c r="C4" s="8" t="s">
        <v>55</v>
      </c>
      <c r="D4" s="8" t="s">
        <v>56</v>
      </c>
    </row>
    <row r="5" customFormat="false" ht="39.75" hidden="false" customHeight="true" outlineLevel="0" collapsed="false">
      <c r="A5" s="9" t="n">
        <f aca="false">COUNTA('Reporting Health Check'!A6:A100)</f>
        <v>6</v>
      </c>
      <c r="B5" s="9" t="n">
        <f aca="false">COUNTIF('Reporting Health Check'!H6:H100,"Green")</f>
        <v>3</v>
      </c>
      <c r="C5" s="9" t="n">
        <f aca="false">COUNTIF('Reporting Health Check'!H6:H100,"Amber")</f>
        <v>1</v>
      </c>
      <c r="D5" s="9" t="n">
        <f aca="false">COUNTIF('Reporting Health Check'!H6:H100,"Red")</f>
        <v>2</v>
      </c>
    </row>
    <row r="7" customFormat="false" ht="15" hidden="false" customHeight="false" outlineLevel="0" collapsed="false">
      <c r="A7" s="10" t="s">
        <v>57</v>
      </c>
      <c r="B7" s="11" t="n">
        <f aca="false">IF(B5+C5+D5=0,0,B5/(B5+C5+D5))</f>
        <v>0.5</v>
      </c>
    </row>
    <row r="8" customFormat="false" ht="15" hidden="false" customHeight="false" outlineLevel="0" collapsed="false">
      <c r="A8" s="10" t="s">
        <v>58</v>
      </c>
      <c r="B8" s="12" t="n">
        <f aca="false">IF(B5+C5+D5=0,0,(C5+D5)/(B5+C5+D5))</f>
        <v>0.5</v>
      </c>
    </row>
    <row r="10" customFormat="false" ht="15" hidden="false" customHeight="false" outlineLevel="0" collapsed="false">
      <c r="A10" s="13" t="s">
        <v>59</v>
      </c>
      <c r="B10" s="13" t="s">
        <v>60</v>
      </c>
    </row>
    <row r="11" customFormat="false" ht="15" hidden="false" customHeight="false" outlineLevel="0" collapsed="false">
      <c r="A11" s="14" t="s">
        <v>61</v>
      </c>
      <c r="B11" s="14" t="n">
        <f aca="false">B5</f>
        <v>3</v>
      </c>
    </row>
    <row r="12" customFormat="false" ht="15" hidden="false" customHeight="false" outlineLevel="0" collapsed="false">
      <c r="A12" s="14" t="s">
        <v>62</v>
      </c>
      <c r="B12" s="14" t="n">
        <f aca="false">C5</f>
        <v>1</v>
      </c>
    </row>
    <row r="13" customFormat="false" ht="15" hidden="false" customHeight="false" outlineLevel="0" collapsed="false">
      <c r="A13" s="14" t="s">
        <v>63</v>
      </c>
      <c r="B13" s="14" t="n">
        <f aca="false">D5</f>
        <v>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55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5" t="s">
        <v>64</v>
      </c>
      <c r="B1" s="15"/>
      <c r="C1" s="15"/>
      <c r="D1" s="15"/>
    </row>
    <row r="2" customFormat="false" ht="15" hidden="false" customHeight="false" outlineLevel="0" collapsed="false">
      <c r="A2" s="2" t="s">
        <v>65</v>
      </c>
      <c r="B2" s="2"/>
      <c r="C2" s="2"/>
      <c r="D2" s="2"/>
    </row>
    <row r="4" customFormat="false" ht="15" hidden="false" customHeight="false" outlineLevel="0" collapsed="false">
      <c r="A4" s="16" t="s">
        <v>66</v>
      </c>
      <c r="B4" s="16" t="s">
        <v>67</v>
      </c>
      <c r="C4" s="16" t="s">
        <v>68</v>
      </c>
      <c r="D4" s="16" t="s">
        <v>69</v>
      </c>
    </row>
    <row r="5" customFormat="false" ht="36" hidden="false" customHeight="true" outlineLevel="0" collapsed="false">
      <c r="A5" s="7" t="n">
        <v>1</v>
      </c>
      <c r="B5" s="17" t="s">
        <v>70</v>
      </c>
      <c r="C5" s="5" t="s">
        <v>71</v>
      </c>
      <c r="D5" s="7"/>
    </row>
    <row r="6" customFormat="false" ht="36" hidden="false" customHeight="true" outlineLevel="0" collapsed="false">
      <c r="A6" s="7" t="n">
        <v>2</v>
      </c>
      <c r="B6" s="17" t="s">
        <v>72</v>
      </c>
      <c r="C6" s="5" t="s">
        <v>73</v>
      </c>
      <c r="D6" s="7"/>
    </row>
    <row r="7" customFormat="false" ht="36" hidden="false" customHeight="true" outlineLevel="0" collapsed="false">
      <c r="A7" s="7" t="n">
        <v>3</v>
      </c>
      <c r="B7" s="17" t="s">
        <v>74</v>
      </c>
      <c r="C7" s="5" t="s">
        <v>75</v>
      </c>
      <c r="D7" s="7"/>
    </row>
    <row r="8" customFormat="false" ht="36" hidden="false" customHeight="true" outlineLevel="0" collapsed="false">
      <c r="A8" s="7" t="n">
        <v>4</v>
      </c>
      <c r="B8" s="17" t="s">
        <v>76</v>
      </c>
      <c r="C8" s="5" t="s">
        <v>77</v>
      </c>
      <c r="D8" s="7"/>
    </row>
    <row r="9" customFormat="false" ht="36" hidden="false" customHeight="true" outlineLevel="0" collapsed="false">
      <c r="A9" s="7" t="n">
        <v>5</v>
      </c>
      <c r="B9" s="17" t="s">
        <v>78</v>
      </c>
      <c r="C9" s="5" t="s">
        <v>79</v>
      </c>
      <c r="D9" s="7"/>
    </row>
    <row r="10" customFormat="false" ht="36" hidden="false" customHeight="true" outlineLevel="0" collapsed="false">
      <c r="A10" s="7" t="n">
        <v>6</v>
      </c>
      <c r="B10" s="17" t="s">
        <v>80</v>
      </c>
      <c r="C10" s="5" t="s">
        <v>81</v>
      </c>
      <c r="D10" s="7"/>
    </row>
    <row r="11" customFormat="false" ht="36" hidden="false" customHeight="true" outlineLevel="0" collapsed="false">
      <c r="A11" s="7" t="n">
        <v>7</v>
      </c>
      <c r="B11" s="17" t="s">
        <v>82</v>
      </c>
      <c r="C11" s="5" t="s">
        <v>83</v>
      </c>
      <c r="D11" s="7"/>
    </row>
    <row r="12" customFormat="false" ht="36" hidden="false" customHeight="true" outlineLevel="0" collapsed="false">
      <c r="A12" s="7" t="n">
        <v>8</v>
      </c>
      <c r="B12" s="17" t="s">
        <v>84</v>
      </c>
      <c r="C12" s="5" t="s">
        <v>85</v>
      </c>
      <c r="D12" s="7"/>
    </row>
    <row r="13" customFormat="false" ht="36" hidden="false" customHeight="true" outlineLevel="0" collapsed="false">
      <c r="A13" s="7" t="n">
        <v>9</v>
      </c>
      <c r="B13" s="17" t="s">
        <v>86</v>
      </c>
      <c r="C13" s="5" t="s">
        <v>87</v>
      </c>
      <c r="D13" s="7"/>
    </row>
    <row r="14" customFormat="false" ht="36" hidden="false" customHeight="true" outlineLevel="0" collapsed="false">
      <c r="A14" s="7" t="n">
        <v>10</v>
      </c>
      <c r="B14" s="17" t="s">
        <v>88</v>
      </c>
      <c r="C14" s="5" t="s">
        <v>89</v>
      </c>
      <c r="D14" s="7"/>
    </row>
  </sheetData>
  <mergeCells count="2">
    <mergeCell ref="A1:D1"/>
    <mergeCell ref="A2:D2"/>
  </mergeCells>
  <conditionalFormatting sqref="D5:D10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2026-03-19T19:48:59Z</dcterms:created>
  <dc:creator>openpyxl</dc:creator>
  <dc:description/>
  <dc:language>en-US</dc:language>
  <cp:lastModifiedBy/>
  <dcterms:modified xsi:type="dcterms:W3CDTF">2026-03-19T19:49:10Z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